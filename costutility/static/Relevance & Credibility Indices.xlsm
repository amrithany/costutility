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9" codeName="{3D1A710C-6663-3D7B-7F91-EC182F24A4BC}"/>
  <workbookPr codeName="ThisWorkbook" defaultThemeVersion="166925"/>
  <mc:AlternateContent xmlns:mc="http://schemas.openxmlformats.org/markup-compatibility/2006">
    <mc:Choice Requires="x15">
      <x15ac:absPath xmlns:x15ac="http://schemas.microsoft.com/office/spreadsheetml/2010/11/ac" url="G:\My Drive\2017, Cost-utility decision-making\4_Tool design\5_June 2020 Updates\"/>
    </mc:Choice>
  </mc:AlternateContent>
  <xr:revisionPtr revIDLastSave="0" documentId="13_ncr:1_{8898B713-1F1F-4874-8AB6-D97AA154A370}" xr6:coauthVersionLast="36" xr6:coauthVersionMax="36" xr10:uidLastSave="{00000000-0000-0000-0000-000000000000}"/>
  <workbookProtection workbookAlgorithmName="SHA-512" workbookHashValue="lgdxidbUJgypsMmvwv36OoBQNQKtfQswptgZR52MwHhtKbG/qq6hSYgSCpqRsq6/h9QFo3FnYvWvTHq6VrW2PQ==" workbookSaltValue="Kri9YSATfylLrJLJv1OEfQ==" workbookSpinCount="100000" lockStructure="1"/>
  <bookViews>
    <workbookView xWindow="0" yWindow="0" windowWidth="23028" windowHeight="7464" xr2:uid="{36BA67EA-9AC7-465D-AE45-C91974BFCAF1}"/>
  </bookViews>
  <sheets>
    <sheet name="0 Quick Start" sheetId="13" r:id="rId1"/>
    <sheet name="1 Summary Table" sheetId="2" r:id="rId2"/>
    <sheet name="2 Relevance Index" sheetId="3" r:id="rId3"/>
    <sheet name="3 Credibility Index (Single)" sheetId="14" state="hidden" r:id="rId4"/>
    <sheet name="3 Credibility Index" sheetId="15" r:id="rId5"/>
    <sheet name="4 Background &amp; References" sheetId="8" r:id="rId6"/>
    <sheet name="Reference Table" sheetId="9" state="hidden" r:id="rId7"/>
  </sheets>
  <definedNames>
    <definedName name="_ftnref1" localSheetId="4">'3 Credibility Index'!$A$55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1" i="3" l="1"/>
  <c r="K11" i="3"/>
  <c r="O11" i="3"/>
  <c r="S11" i="3"/>
  <c r="G7" i="15"/>
  <c r="K7" i="15"/>
  <c r="I7" i="15"/>
  <c r="E7" i="15"/>
  <c r="C7" i="15"/>
  <c r="K62" i="15"/>
  <c r="K59" i="15"/>
  <c r="K54" i="15"/>
  <c r="K51" i="15"/>
  <c r="K46" i="15"/>
  <c r="K41" i="15"/>
  <c r="K37" i="15"/>
  <c r="K31" i="15"/>
  <c r="K27" i="15"/>
  <c r="K23" i="15"/>
  <c r="K18" i="15"/>
  <c r="K13" i="15"/>
  <c r="K8" i="15"/>
  <c r="I62" i="15"/>
  <c r="I59" i="15"/>
  <c r="I54" i="15"/>
  <c r="I51" i="15"/>
  <c r="I46" i="15"/>
  <c r="I41" i="15"/>
  <c r="I37" i="15"/>
  <c r="I31" i="15"/>
  <c r="I27" i="15"/>
  <c r="I23" i="15"/>
  <c r="I18" i="15"/>
  <c r="I66" i="15" s="1"/>
  <c r="I13" i="15"/>
  <c r="I8" i="15"/>
  <c r="G62" i="15"/>
  <c r="G59" i="15"/>
  <c r="G54" i="15"/>
  <c r="G51" i="15"/>
  <c r="G46" i="15"/>
  <c r="G41" i="15"/>
  <c r="G37" i="15"/>
  <c r="G31" i="15"/>
  <c r="G27" i="15"/>
  <c r="G23" i="15"/>
  <c r="G18" i="15"/>
  <c r="E18" i="15"/>
  <c r="G13" i="15"/>
  <c r="G8" i="15"/>
  <c r="G66" i="15" s="1"/>
  <c r="C62" i="15"/>
  <c r="C59" i="15"/>
  <c r="C54" i="15"/>
  <c r="C51" i="15"/>
  <c r="C46" i="15"/>
  <c r="C41" i="15"/>
  <c r="C37" i="15"/>
  <c r="C31" i="15"/>
  <c r="C27" i="15"/>
  <c r="C23" i="15"/>
  <c r="C18" i="15"/>
  <c r="C13" i="15"/>
  <c r="C8" i="15"/>
  <c r="E62" i="15"/>
  <c r="E59" i="15"/>
  <c r="E54" i="15"/>
  <c r="E51" i="15"/>
  <c r="E46" i="15"/>
  <c r="E41" i="15"/>
  <c r="E37" i="15"/>
  <c r="E31" i="15"/>
  <c r="E27" i="15"/>
  <c r="E23" i="15"/>
  <c r="E13" i="15"/>
  <c r="E8" i="15"/>
  <c r="B70" i="14"/>
  <c r="D70" i="14"/>
  <c r="D71" i="14" s="1"/>
  <c r="D66" i="14"/>
  <c r="D63" i="14"/>
  <c r="D57" i="14"/>
  <c r="D54" i="14"/>
  <c r="D49" i="14"/>
  <c r="D44" i="14"/>
  <c r="D40" i="14"/>
  <c r="D34" i="14"/>
  <c r="D30" i="14"/>
  <c r="D26" i="14"/>
  <c r="D21" i="14"/>
  <c r="D16" i="14"/>
  <c r="D11" i="14"/>
  <c r="W11" i="3"/>
  <c r="N14" i="2"/>
  <c r="N15" i="2"/>
  <c r="N16" i="2"/>
  <c r="N17" i="2"/>
  <c r="N13" i="2"/>
  <c r="Y31" i="3"/>
  <c r="Y30" i="3"/>
  <c r="Y29" i="3"/>
  <c r="Y28" i="3"/>
  <c r="Y27" i="3"/>
  <c r="Y26" i="3"/>
  <c r="Y25" i="3"/>
  <c r="Y24" i="3"/>
  <c r="Y23" i="3"/>
  <c r="Y22" i="3"/>
  <c r="Y21" i="3"/>
  <c r="Y20" i="3"/>
  <c r="Y19" i="3"/>
  <c r="Y18" i="3"/>
  <c r="Y17" i="3"/>
  <c r="Y16" i="3"/>
  <c r="Y15" i="3"/>
  <c r="Y14" i="3"/>
  <c r="Y13" i="3"/>
  <c r="U31" i="3"/>
  <c r="U30" i="3"/>
  <c r="U29" i="3"/>
  <c r="U28" i="3"/>
  <c r="U27" i="3"/>
  <c r="U26" i="3"/>
  <c r="U25" i="3"/>
  <c r="U24" i="3"/>
  <c r="U23" i="3"/>
  <c r="U22" i="3"/>
  <c r="U21" i="3"/>
  <c r="U20" i="3"/>
  <c r="U19" i="3"/>
  <c r="U18" i="3"/>
  <c r="U17" i="3"/>
  <c r="U16" i="3"/>
  <c r="U15" i="3"/>
  <c r="U14" i="3"/>
  <c r="U13" i="3"/>
  <c r="Q31" i="3"/>
  <c r="Q30" i="3"/>
  <c r="Q29" i="3"/>
  <c r="Q28" i="3"/>
  <c r="Q27" i="3"/>
  <c r="Q26" i="3"/>
  <c r="Q25" i="3"/>
  <c r="Q24" i="3"/>
  <c r="Q23" i="3"/>
  <c r="Q22" i="3"/>
  <c r="Q21" i="3"/>
  <c r="Q20" i="3"/>
  <c r="Q19" i="3"/>
  <c r="Q18" i="3"/>
  <c r="Q17" i="3"/>
  <c r="Q16" i="3"/>
  <c r="Q15" i="3"/>
  <c r="Q14" i="3"/>
  <c r="Q13" i="3"/>
  <c r="M31" i="3"/>
  <c r="M30" i="3"/>
  <c r="M29" i="3"/>
  <c r="M28" i="3"/>
  <c r="M27" i="3"/>
  <c r="M26" i="3"/>
  <c r="M25" i="3"/>
  <c r="M24" i="3"/>
  <c r="M23" i="3"/>
  <c r="M22" i="3"/>
  <c r="M21" i="3"/>
  <c r="M20" i="3"/>
  <c r="M19" i="3"/>
  <c r="M18" i="3"/>
  <c r="M17" i="3"/>
  <c r="M16" i="3"/>
  <c r="M15" i="3"/>
  <c r="M14" i="3"/>
  <c r="M13" i="3"/>
  <c r="I31" i="3"/>
  <c r="I30" i="3"/>
  <c r="I29" i="3"/>
  <c r="I28" i="3"/>
  <c r="I27" i="3"/>
  <c r="I26" i="3"/>
  <c r="I25" i="3"/>
  <c r="I24" i="3"/>
  <c r="I23" i="3"/>
  <c r="I22" i="3"/>
  <c r="I21" i="3"/>
  <c r="I20" i="3"/>
  <c r="I19" i="3"/>
  <c r="I18" i="3"/>
  <c r="I17" i="3"/>
  <c r="I16" i="3"/>
  <c r="I15" i="3"/>
  <c r="I14" i="3"/>
  <c r="I13" i="3"/>
  <c r="D13" i="3"/>
  <c r="D31" i="3"/>
  <c r="D30" i="3"/>
  <c r="D29" i="3"/>
  <c r="D28" i="3"/>
  <c r="D27" i="3"/>
  <c r="D26" i="3"/>
  <c r="D25" i="3"/>
  <c r="D24" i="3"/>
  <c r="D23" i="3"/>
  <c r="D22" i="3"/>
  <c r="D21" i="3"/>
  <c r="D20" i="3"/>
  <c r="D19" i="3"/>
  <c r="D18" i="3"/>
  <c r="D17" i="3"/>
  <c r="D16" i="3"/>
  <c r="D15" i="3"/>
  <c r="D14" i="3"/>
  <c r="C32" i="3" l="1"/>
  <c r="T32" i="3"/>
  <c r="T34" i="3" s="1"/>
  <c r="E66" i="15"/>
  <c r="I14" i="2" s="1"/>
  <c r="J14" i="2" s="1"/>
  <c r="K14" i="2" s="1"/>
  <c r="K66" i="15"/>
  <c r="I17" i="2" s="1"/>
  <c r="J17" i="2" s="1"/>
  <c r="K17" i="2" s="1"/>
  <c r="C66" i="15"/>
  <c r="C67" i="15" s="1"/>
  <c r="C68" i="15" s="1"/>
  <c r="X32" i="3"/>
  <c r="X34" i="3" s="1"/>
  <c r="W35" i="3" s="1"/>
  <c r="F17" i="2" s="1"/>
  <c r="G17" i="2" s="1"/>
  <c r="I67" i="15"/>
  <c r="I68" i="15" s="1"/>
  <c r="I16" i="2"/>
  <c r="J16" i="2" s="1"/>
  <c r="K16" i="2" s="1"/>
  <c r="D68" i="14"/>
  <c r="D72" i="14"/>
  <c r="E16" i="2"/>
  <c r="S35" i="3"/>
  <c r="F16" i="2" s="1"/>
  <c r="G16" i="2" s="1"/>
  <c r="G67" i="15"/>
  <c r="G68" i="15" s="1"/>
  <c r="I15" i="2"/>
  <c r="J15" i="2" s="1"/>
  <c r="K15" i="2" s="1"/>
  <c r="H32" i="3"/>
  <c r="H34" i="3" s="1"/>
  <c r="L32" i="3"/>
  <c r="L34" i="3" s="1"/>
  <c r="P32" i="3"/>
  <c r="P34" i="3" s="1"/>
  <c r="K67" i="15" l="1"/>
  <c r="K68" i="15" s="1"/>
  <c r="E67" i="15"/>
  <c r="E68" i="15" s="1"/>
  <c r="I13" i="2"/>
  <c r="J13" i="2" s="1"/>
  <c r="K13" i="2" s="1"/>
  <c r="E17" i="2"/>
  <c r="E15" i="2"/>
  <c r="O35" i="3"/>
  <c r="F15" i="2" s="1"/>
  <c r="G15" i="2" s="1"/>
  <c r="K35" i="3"/>
  <c r="F14" i="2" s="1"/>
  <c r="G14" i="2" s="1"/>
  <c r="E14" i="2"/>
  <c r="G35" i="3"/>
  <c r="F13" i="2" s="1"/>
  <c r="G13" i="2" s="1"/>
  <c r="E1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Yixin Wang</author>
  </authors>
  <commentList>
    <comment ref="C12" authorId="0" shapeId="0" xr:uid="{BEB31AFC-23D2-428B-828C-FA56B451CA9B}">
      <text>
        <r>
          <rPr>
            <b/>
            <sz val="9"/>
            <color indexed="81"/>
            <rFont val="Tahoma"/>
            <family val="2"/>
          </rPr>
          <t>Yixin Wang:</t>
        </r>
        <r>
          <rPr>
            <sz val="9"/>
            <color indexed="81"/>
            <rFont val="Tahoma"/>
            <family val="2"/>
          </rPr>
          <t xml:space="preserve">
Weights are assigned to these factors as follows:
Very = 3
Moderately = 2
Slightly = 1
Not at all = 0</t>
        </r>
      </text>
    </comment>
    <comment ref="B16" authorId="0" shapeId="0" xr:uid="{A5B44B3D-78BC-48AC-ACED-D08D95BD4D06}">
      <text>
        <r>
          <rPr>
            <b/>
            <sz val="9"/>
            <color indexed="81"/>
            <rFont val="Tahoma"/>
            <family val="2"/>
          </rPr>
          <t>Yixin Wang:</t>
        </r>
        <r>
          <rPr>
            <sz val="9"/>
            <color indexed="81"/>
            <rFont val="Tahoma"/>
            <family val="2"/>
          </rPr>
          <t xml:space="preserve">
FRPL: Free and Reduced Price Lunch</t>
        </r>
      </text>
    </comment>
    <comment ref="B18" authorId="0" shapeId="0" xr:uid="{9C8E29A0-F648-49B7-9269-62E7A8E9D4B2}">
      <text>
        <r>
          <rPr>
            <b/>
            <sz val="9"/>
            <color indexed="81"/>
            <rFont val="Tahoma"/>
            <family val="2"/>
          </rPr>
          <t>Yixin Wang:</t>
        </r>
        <r>
          <rPr>
            <sz val="9"/>
            <color indexed="81"/>
            <rFont val="Tahoma"/>
            <family val="2"/>
          </rPr>
          <t xml:space="preserve">
ELL: English Language Learner</t>
        </r>
      </text>
    </comment>
  </commentList>
</comments>
</file>

<file path=xl/sharedStrings.xml><?xml version="1.0" encoding="utf-8"?>
<sst xmlns="http://schemas.openxmlformats.org/spreadsheetml/2006/main" count="321" uniqueCount="234">
  <si>
    <t>*Note that these indices are designed to be used to assess studies which focus on single investigations rather than for studies which summarize the results of many investigations, such as literature reviews or meta-analyses. While such summaries are useful for providing a general idea of “what works,” it would be hard to assess the relevance of such overviews to your own context.</t>
  </si>
  <si>
    <t>How to use this Worksheet to evaluate a research study:</t>
    <phoneticPr fontId="2" type="noConversion"/>
  </si>
  <si>
    <t>•To find the information in the study that you will need for completing this worksheet, look for section headings in the study that use terms like “Methods” or “Study Design,” “Measures,” and “Sample” or “Setting.” Search functions in a Word or PDF document can help with this (e.g., Ctrl F).</t>
    <phoneticPr fontId="2" type="noConversion"/>
  </si>
  <si>
    <t>Key terms:</t>
    <phoneticPr fontId="2" type="noConversion"/>
  </si>
  <si>
    <t>Yes</t>
    <phoneticPr fontId="2" type="noConversion"/>
  </si>
  <si>
    <t>No</t>
    <phoneticPr fontId="2" type="noConversion"/>
  </si>
  <si>
    <t>Acronyms:</t>
    <phoneticPr fontId="2" type="noConversion"/>
  </si>
  <si>
    <t>Authors</t>
  </si>
  <si>
    <t>Relevance Index</t>
  </si>
  <si>
    <t>Relevance Rating</t>
  </si>
  <si>
    <t>Credibility Index</t>
  </si>
  <si>
    <t>(Total Points for Parts I, II, III, IV)</t>
  </si>
  <si>
    <t>Credibility Rating</t>
  </si>
  <si>
    <t>Credibility Parameter</t>
  </si>
  <si>
    <t>Less than 10</t>
  </si>
  <si>
    <t>Low credibility</t>
  </si>
  <si>
    <t>Moderate credibility</t>
  </si>
  <si>
    <t>20-27</t>
  </si>
  <si>
    <t>High credibility</t>
  </si>
  <si>
    <t>10-19</t>
    <phoneticPr fontId="2" type="noConversion"/>
  </si>
  <si>
    <t>Effect size reported in study</t>
  </si>
  <si>
    <t>Adjusted effect size</t>
  </si>
  <si>
    <t>Things to look for and think about</t>
  </si>
  <si>
    <t>Study context is similar to mine</t>
  </si>
  <si>
    <t>Recency of study</t>
  </si>
  <si>
    <t>Extent to which the educational activity, strategy or intervention (Solution Option) is still likely to be applicable in my context today</t>
  </si>
  <si>
    <t>Student demographics</t>
  </si>
  <si>
    <t>Age of students on which the program/ intervention was tested</t>
  </si>
  <si>
    <t>Baseline performance of students before implementing the program</t>
  </si>
  <si>
    <t>Percent economically disadvantaged, e.g., as indicated by FRPL</t>
  </si>
  <si>
    <t>Percent classified as minority</t>
  </si>
  <si>
    <t>Percent ELL</t>
  </si>
  <si>
    <t>Percent Special Education</t>
  </si>
  <si>
    <t>School context</t>
  </si>
  <si>
    <t>Charter school vs. district school vs. private school</t>
  </si>
  <si>
    <t>Selective admissions vs. open to all applicants</t>
  </si>
  <si>
    <t>Qualifications of teachers (e.g., degree level, certification, tenure status, average experience)</t>
  </si>
  <si>
    <t>Availability of necessary staff</t>
  </si>
  <si>
    <t xml:space="preserve">Availability of necessary technology </t>
  </si>
  <si>
    <t xml:space="preserve">Alignment with School Improvement Plan </t>
  </si>
  <si>
    <t>Urban, rural or suburban</t>
  </si>
  <si>
    <t>Relevance of measure used</t>
  </si>
  <si>
    <t>Whether the outcome measure reported in the study is relevant for your goals, e.g., if you are trying to reduce behavior incidents, a study that reports suspension rates might be relevant, but one that reports attendance might be less relevant</t>
  </si>
  <si>
    <t>Scale</t>
  </si>
  <si>
    <t>Is the scale at which the study was conducted similar to your context and needs (e.g., if you want to implement a reading program at large scale across several schools, did the study look at the effect of the intervention across many schools, or only at small scale in one school?)</t>
  </si>
  <si>
    <t>Total possible score (Y) = Total importance score x 3 points =</t>
    <phoneticPr fontId="2" type="noConversion"/>
  </si>
  <si>
    <t xml:space="preserve">Total points you gave this study (X):  </t>
    <phoneticPr fontId="2" type="noConversion"/>
  </si>
  <si>
    <t>( = Total points for this study/Total possible score x 100)</t>
  </si>
  <si>
    <t>Less than 30%</t>
  </si>
  <si>
    <t>Low Relevance</t>
  </si>
  <si>
    <t>31 - 69%</t>
  </si>
  <si>
    <t>Moderate Relevance</t>
  </si>
  <si>
    <t>70% or higher</t>
  </si>
  <si>
    <t>High Relevance</t>
  </si>
  <si>
    <t>RI Importance/Own Rating</t>
    <phoneticPr fontId="2" type="noConversion"/>
  </si>
  <si>
    <t>RI Interpretation</t>
    <phoneticPr fontId="2" type="noConversion"/>
  </si>
  <si>
    <t>RI Decision</t>
    <phoneticPr fontId="2" type="noConversion"/>
  </si>
  <si>
    <t xml:space="preserve">Important consideration for me </t>
    <phoneticPr fontId="2" type="noConversion"/>
  </si>
  <si>
    <t>Who conducted the study?</t>
  </si>
  <si>
    <t>Max Points: 2</t>
  </si>
  <si>
    <t>The study was conducted by the program vendor.</t>
  </si>
  <si>
    <t>The study was conducted by an external evaluator hired by the program vendor.</t>
  </si>
  <si>
    <t>Who published the study?</t>
  </si>
  <si>
    <t xml:space="preserve">It is not clear where the study was published. </t>
  </si>
  <si>
    <t>The study was published by the vendor.</t>
  </si>
  <si>
    <t>The study was published by a third party (i.e., other than the vendor) but not a peer-reviewed journal, e.g., a university, research organization, school district or other government agency. Keep in mind some technical reports are also later published in a peer-reviewed journal, so you may wish to check Google Scholar to see if there is a later published version.</t>
  </si>
  <si>
    <t xml:space="preserve">The study was conducted by an external evaluator acting as an independent third party, i.e., not paid by the vendor.[1] </t>
  </si>
  <si>
    <t xml:space="preserve">The study was published in a peer-reviewed journal.[2] </t>
  </si>
  <si>
    <t>CI</t>
    <phoneticPr fontId="2" type="noConversion"/>
  </si>
  <si>
    <t>Length of time participants are exposed to the educational program/strategy being studied</t>
  </si>
  <si>
    <t>MAX POINTS 2</t>
  </si>
  <si>
    <t xml:space="preserve">Length of exposure is not clear from the study. </t>
  </si>
  <si>
    <t>Length of exposure is too short to make a difference.</t>
  </si>
  <si>
    <t>Length of exposure is too long to reflect likely effect in regular practice.</t>
  </si>
  <si>
    <r>
      <t xml:space="preserve">Components of the program: </t>
    </r>
    <r>
      <rPr>
        <sz val="10.5"/>
        <color rgb="FFFFFFFF"/>
        <rFont val="Times New Roman"/>
        <family val="1"/>
      </rPr>
      <t>Is it clear</t>
    </r>
    <r>
      <rPr>
        <b/>
        <sz val="10.5"/>
        <color rgb="FFFFFFFF"/>
        <rFont val="Times New Roman"/>
        <family val="1"/>
      </rPr>
      <t xml:space="preserve"> </t>
    </r>
    <r>
      <rPr>
        <sz val="10.5"/>
        <color rgb="FFFFFFFF"/>
        <rFont val="Times New Roman"/>
        <family val="1"/>
      </rPr>
      <t>what program participants were expected to do compared with business as usual conditions?</t>
    </r>
  </si>
  <si>
    <t>MAX POINTS: 2</t>
  </si>
  <si>
    <t>The components of the program/treatment are not clear.</t>
  </si>
  <si>
    <t>The components of the program/treatment are partially clear.</t>
  </si>
  <si>
    <t>The components of the program/treatment are completely clear.</t>
  </si>
  <si>
    <r>
      <t xml:space="preserve">Implementation of the program:  </t>
    </r>
    <r>
      <rPr>
        <sz val="10.5"/>
        <color rgb="FFFFFFFF"/>
        <rFont val="Times New Roman"/>
        <family val="1"/>
      </rPr>
      <t>Is it clear how the program was implemented in the study, e.g., how much time participants actually spent engaging in the program activities, how often, whether it was implemented in/out of the classroom, before/ after school hours etc.?</t>
    </r>
  </si>
  <si>
    <t>The implementation details of the program are not clear.</t>
  </si>
  <si>
    <t>The implementation details of the program are partially clear.</t>
  </si>
  <si>
    <t>The implementation details of the program are completely clear.</t>
  </si>
  <si>
    <t>Meaningful outcomes</t>
  </si>
  <si>
    <t>MAX POINTS  3</t>
  </si>
  <si>
    <t>It is not clear which outcomes are being measured, e.g., it is not clear whether the study is evaluating geometry skills or algebra skills.</t>
  </si>
  <si>
    <t>The outcomes measured are not at all aligned with the ultimate goal for implementing the intervention, e.g., the study investigates whether an after-school supplemental math program improves geometry skills, despite the fact that the program aims to improve algebra skills.</t>
  </si>
  <si>
    <t>The outcomes measured only capture short-term behavioral changes but not longer-term educational outcomes, e.g., the study only documents whether students are attending an after-school math program, but does not measure whether their math skills are improving.</t>
  </si>
  <si>
    <t>The outcomes measured are aligned with some but not all of the stated goals for implementing the intervention, e.g., the study is measuring algebra skills when the primary goal of the program is to improve both algebra and geometry skills.</t>
  </si>
  <si>
    <t>The outcomes measured are aligned with all of the stated goals for implementing the intervention, e.g., the study is measuring algebra skills when improving algebra skills is the primary goal of the program.</t>
  </si>
  <si>
    <t>Length of exposure is about right.</t>
    <phoneticPr fontId="2" type="noConversion"/>
  </si>
  <si>
    <r>
      <rPr>
        <sz val="11"/>
        <color theme="1"/>
        <rFont val="Times New Roman"/>
        <family val="1"/>
      </rPr>
      <t xml:space="preserve">A </t>
    </r>
    <r>
      <rPr>
        <b/>
        <sz val="11"/>
        <color theme="1"/>
        <rFont val="Times New Roman"/>
        <family val="1"/>
      </rPr>
      <t>sample</t>
    </r>
    <r>
      <rPr>
        <sz val="11"/>
        <color theme="1"/>
        <rFont val="Times New Roman"/>
        <family val="1"/>
      </rPr>
      <t xml:space="preserve"> is a subset of a population, for example, a subset of the students/teachers/schools that make up a target population for an evaluation.  
A sample is </t>
    </r>
    <r>
      <rPr>
        <b/>
        <sz val="11"/>
        <color theme="1"/>
        <rFont val="Times New Roman"/>
        <family val="1"/>
      </rPr>
      <t>representative</t>
    </r>
    <r>
      <rPr>
        <sz val="11"/>
        <color theme="1"/>
        <rFont val="Times New Roman"/>
        <family val="1"/>
      </rPr>
      <t xml:space="preserve"> if the sample is similar to the target population on all important characteristics.</t>
    </r>
    <r>
      <rPr>
        <b/>
        <sz val="11"/>
        <color theme="1"/>
        <rFont val="Times New Roman"/>
        <family val="1"/>
      </rPr>
      <t xml:space="preserve"> </t>
    </r>
    <phoneticPr fontId="2" type="noConversion"/>
  </si>
  <si>
    <r>
      <t>Statistical power:</t>
    </r>
    <r>
      <rPr>
        <sz val="11"/>
        <color theme="1"/>
        <rFont val="Times New Roman"/>
        <family val="1"/>
      </rPr>
      <t xml:space="preserve"> The probability that the estimate of the program effect will be found statistically significant if a given effect size is determined to have occurred.</t>
    </r>
    <phoneticPr fontId="2" type="noConversion"/>
  </si>
  <si>
    <r>
      <t xml:space="preserve">Sample Size: </t>
    </r>
    <r>
      <rPr>
        <sz val="11"/>
        <color theme="1"/>
        <rFont val="Times New Roman"/>
        <family val="1"/>
      </rPr>
      <t>The number of units (e.g., students/teachers/schools) in a sample.</t>
    </r>
    <phoneticPr fontId="2" type="noConversion"/>
  </si>
  <si>
    <t>Steps to follow</t>
    <phoneticPr fontId="2" type="noConversion"/>
  </si>
  <si>
    <t>General Information</t>
    <phoneticPr fontId="2" type="noConversion"/>
  </si>
  <si>
    <t xml:space="preserve">Total points you gave this study (X):  </t>
    <phoneticPr fontId="2" type="noConversion"/>
  </si>
  <si>
    <t>not at all/unavailable</t>
  </si>
  <si>
    <t>not at all/unavailable</t>
    <phoneticPr fontId="2" type="noConversion"/>
  </si>
  <si>
    <t>slightly</t>
    <phoneticPr fontId="2" type="noConversion"/>
  </si>
  <si>
    <t>very</t>
    <phoneticPr fontId="2" type="noConversion"/>
  </si>
  <si>
    <t>moderately</t>
    <phoneticPr fontId="2" type="noConversion"/>
  </si>
  <si>
    <t>Contextual factor</t>
    <phoneticPr fontId="2" type="noConversion"/>
  </si>
  <si>
    <t>Details of my own context</t>
    <phoneticPr fontId="2" type="noConversion"/>
  </si>
  <si>
    <t>Details of the study</t>
    <phoneticPr fontId="2" type="noConversion"/>
  </si>
  <si>
    <t>Year of study</t>
    <phoneticPr fontId="2" type="noConversion"/>
  </si>
  <si>
    <t>Relevance rating</t>
    <phoneticPr fontId="2" type="noConversion"/>
  </si>
  <si>
    <t>Credibility rating</t>
    <phoneticPr fontId="2" type="noConversion"/>
  </si>
  <si>
    <t>Credibility parameter</t>
    <phoneticPr fontId="2" type="noConversion"/>
  </si>
  <si>
    <t>Use study as relevant evidence for decision?</t>
    <phoneticPr fontId="2" type="noConversion"/>
  </si>
  <si>
    <t>Recommendation on proceeding to evaluate CI?</t>
    <phoneticPr fontId="2" type="noConversion"/>
  </si>
  <si>
    <t>Credibility Index</t>
    <phoneticPr fontId="2" type="noConversion"/>
  </si>
  <si>
    <t xml:space="preserve">Important consideration for me* </t>
    <phoneticPr fontId="2" type="noConversion"/>
  </si>
  <si>
    <t>not at all/unavailable</t>
    <phoneticPr fontId="2" type="noConversion"/>
  </si>
  <si>
    <t>*Weights are assigned to these factors as follows: Very = 3; Moderately = 2; Slightly = 1; Not at all = 0</t>
    <phoneticPr fontId="2" type="noConversion"/>
  </si>
  <si>
    <r>
      <t>A</t>
    </r>
    <r>
      <rPr>
        <b/>
        <sz val="11"/>
        <color theme="1"/>
        <rFont val="Times New Roman"/>
        <family val="1"/>
      </rPr>
      <t xml:space="preserve"> comparison group</t>
    </r>
    <r>
      <rPr>
        <sz val="11"/>
        <color theme="1"/>
        <rFont val="Times New Roman"/>
        <family val="1"/>
      </rPr>
      <t xml:space="preserve"> is a group that did not participate in a program and whose results on the outcome of interest can be compared with those of the group that did participate in the program. The key challenge in a good efficacy study is to find a comparison group that closely resembles program participants, meaning both groups should be similar on average across important characteristics, such as student demographics or school characteristics. </t>
    </r>
    <phoneticPr fontId="2" type="noConversion"/>
  </si>
  <si>
    <t>Comparison group</t>
    <phoneticPr fontId="2" type="noConversion"/>
  </si>
  <si>
    <t>Measures</t>
    <phoneticPr fontId="2" type="noConversion"/>
  </si>
  <si>
    <t>Outcome</t>
    <phoneticPr fontId="2" type="noConversion"/>
  </si>
  <si>
    <t>Sample</t>
    <phoneticPr fontId="2" type="noConversion"/>
  </si>
  <si>
    <t>Statistical power</t>
    <phoneticPr fontId="2" type="noConversion"/>
  </si>
  <si>
    <t>Sample size</t>
    <phoneticPr fontId="2" type="noConversion"/>
  </si>
  <si>
    <t>Target population</t>
    <phoneticPr fontId="2" type="noConversion"/>
  </si>
  <si>
    <t>English Language Learner</t>
    <phoneticPr fontId="2" type="noConversion"/>
  </si>
  <si>
    <t>ELL:</t>
    <phoneticPr fontId="2" type="noConversion"/>
  </si>
  <si>
    <t>FRPL:</t>
    <phoneticPr fontId="2" type="noConversion"/>
  </si>
  <si>
    <r>
      <rPr>
        <sz val="11"/>
        <color theme="1"/>
        <rFont val="Times New Roman"/>
        <family val="1"/>
      </rPr>
      <t>An</t>
    </r>
    <r>
      <rPr>
        <b/>
        <sz val="11"/>
        <color theme="1"/>
        <rFont val="Times New Roman"/>
        <family val="1"/>
      </rPr>
      <t xml:space="preserve"> outcome</t>
    </r>
    <r>
      <rPr>
        <sz val="11"/>
        <color theme="1"/>
        <rFont val="Times New Roman"/>
        <family val="1"/>
      </rPr>
      <t xml:space="preserve"> is a change or impact caused by the program or strategy being evaluated, or it could be a characteristic of the respondents you want to measure.</t>
    </r>
    <r>
      <rPr>
        <vertAlign val="superscript"/>
        <sz val="11"/>
        <color theme="1"/>
        <rFont val="Times New Roman"/>
        <family val="1"/>
      </rPr>
      <t>3</t>
    </r>
    <r>
      <rPr>
        <sz val="11"/>
        <color theme="1"/>
        <rFont val="Times New Roman"/>
        <family val="1"/>
      </rPr>
      <t xml:space="preserve"> An outcome of a reading program for third graders in an elementary school might be to raise reading skills among third grade students</t>
    </r>
    <r>
      <rPr>
        <b/>
        <sz val="11"/>
        <color theme="1"/>
        <rFont val="Times New Roman"/>
        <family val="1"/>
      </rPr>
      <t>.</t>
    </r>
    <phoneticPr fontId="2" type="noConversion"/>
  </si>
  <si>
    <r>
      <t>Measures</t>
    </r>
    <r>
      <rPr>
        <sz val="11"/>
        <color theme="1"/>
        <rFont val="Times New Roman"/>
        <family val="1"/>
      </rPr>
      <t xml:space="preserve"> are the items in a research study to which the participants respond</t>
    </r>
    <r>
      <rPr>
        <vertAlign val="superscript"/>
        <sz val="11"/>
        <color theme="1"/>
        <rFont val="Times New Roman"/>
        <family val="1"/>
      </rPr>
      <t>2</t>
    </r>
    <r>
      <rPr>
        <sz val="11"/>
        <color theme="1"/>
        <rFont val="Times New Roman"/>
        <family val="1"/>
      </rPr>
      <t>, which are used to assess performance on the outcomes of interest.</t>
    </r>
    <phoneticPr fontId="2" type="noConversion"/>
  </si>
  <si>
    <t>2 http://www.uniteforsight.org/research-methodology/module4</t>
    <phoneticPr fontId="2" type="noConversion"/>
  </si>
  <si>
    <r>
      <t xml:space="preserve">The </t>
    </r>
    <r>
      <rPr>
        <b/>
        <sz val="11"/>
        <color theme="1"/>
        <rFont val="Times New Roman"/>
        <family val="1"/>
      </rPr>
      <t>target population</t>
    </r>
    <r>
      <rPr>
        <sz val="11"/>
        <color theme="1"/>
        <rFont val="Times New Roman"/>
        <family val="1"/>
      </rPr>
      <t xml:space="preserve"> of a study is the complete collection of students/teachers/schools or other units that we want to study or consider.</t>
    </r>
    <r>
      <rPr>
        <vertAlign val="superscript"/>
        <sz val="11"/>
        <color theme="1"/>
        <rFont val="Times New Roman"/>
        <family val="1"/>
      </rPr>
      <t>4</t>
    </r>
    <r>
      <rPr>
        <sz val="11"/>
        <color theme="1"/>
        <rFont val="Times New Roman"/>
        <family val="1"/>
      </rPr>
      <t xml:space="preserve">  For example, the target population of a study on algebra skills of high school students in a particular school district may be all 150,000 students in every high school in the district.</t>
    </r>
    <phoneticPr fontId="2" type="noConversion"/>
  </si>
  <si>
    <t>Free and Reduced Price Lunch</t>
    <phoneticPr fontId="2" type="noConversion"/>
  </si>
  <si>
    <t>Full name of the study 
(Optional)</t>
    <phoneticPr fontId="2" type="noConversion"/>
  </si>
  <si>
    <r>
      <t xml:space="preserve">Nickname of the study
</t>
    </r>
    <r>
      <rPr>
        <b/>
        <i/>
        <sz val="9"/>
        <color rgb="FF000000"/>
        <rFont val="Times New Roman"/>
        <family val="1"/>
      </rPr>
      <t>(This will appear in RI &amp; CI tab as reference while you fill in the worksheets)</t>
    </r>
  </si>
  <si>
    <t>Do you want to adjust the effect size?</t>
  </si>
  <si>
    <t xml:space="preserve">Relevance Index = </t>
  </si>
  <si>
    <t>Details of the Study</t>
  </si>
  <si>
    <t>What to look for and think about</t>
  </si>
  <si>
    <t>10a. Clarity of selection process for program v. comparison groups.</t>
  </si>
  <si>
    <t>10b. Strength of study design to ensure the comparison group is similar to the program participants</t>
  </si>
  <si>
    <t>CI:</t>
    <phoneticPr fontId="2" type="noConversion"/>
  </si>
  <si>
    <t>CP:</t>
    <phoneticPr fontId="2" type="noConversion"/>
  </si>
  <si>
    <t>CR:</t>
    <phoneticPr fontId="2" type="noConversion"/>
  </si>
  <si>
    <t xml:space="preserve">Q7. Sample characteristics: Are the characteristics of the study participants clear? (e.g., grade, gender, FRPL, ELL and Special Education status). </t>
    <phoneticPr fontId="2" type="noConversion"/>
  </si>
  <si>
    <t>Q1. Who conducted the study?</t>
    <phoneticPr fontId="2" type="noConversion"/>
  </si>
  <si>
    <t>Q2. Who published the study?</t>
    <phoneticPr fontId="2" type="noConversion"/>
  </si>
  <si>
    <t>Q3. Length of time participants are exposed to the educational program/strategy being studied</t>
    <phoneticPr fontId="2" type="noConversion"/>
  </si>
  <si>
    <t>Q4. Components of the program: Is it clear what program participants were expected to do compared with business as usual conditions?</t>
    <phoneticPr fontId="2" type="noConversion"/>
  </si>
  <si>
    <t>Q5. Implementation of the program:  Is it clear how the program was implemented in the study, e.g., how much time participants actually spent engaging in the program activities, how often, whether it was implemented in/out of the classroom, before/ after school hours etc.?</t>
    <phoneticPr fontId="2" type="noConversion"/>
  </si>
  <si>
    <t>Q6. Meaningful outcomes</t>
    <phoneticPr fontId="2" type="noConversion"/>
  </si>
  <si>
    <t>Q8. Sample size: Does the size of the sample, i.e., the number of participants in the study, seem adequate? (For researchers: do you think there is enough power to detect an effect if indeed there is one?)</t>
  </si>
  <si>
    <t>Q9. First determine whether there is a comparison group of any kind.</t>
    <phoneticPr fontId="2" type="noConversion"/>
  </si>
  <si>
    <t>Q10. Then, identify how that comparison group was selected. (only answer 10a. and 10b.  if the study includes a comparison group)</t>
    <phoneticPr fontId="2" type="noConversion"/>
  </si>
  <si>
    <r>
      <t xml:space="preserve">Q11. </t>
    </r>
    <r>
      <rPr>
        <b/>
        <sz val="10.5"/>
        <color rgb="FFFFFFFF"/>
        <rFont val="Times New Roman"/>
        <family val="1"/>
      </rPr>
      <t xml:space="preserve">Addressing other possible explanations for the results: </t>
    </r>
    <r>
      <rPr>
        <sz val="10.5"/>
        <color rgb="FFFFFFFF"/>
        <rFont val="Times New Roman"/>
        <family val="1"/>
      </rPr>
      <t>If the study does not assign students/teachers/schools at random to participate in the program or in the comparison group, do the authors attempt to account for, or at least discuss the possibility of, other factors besides the treatment explaining the difference in outcomes between treatment and control groups?</t>
    </r>
    <phoneticPr fontId="2" type="noConversion"/>
  </si>
  <si>
    <t>Q12. Measuring outcomes over time</t>
    <phoneticPr fontId="2" type="noConversion"/>
  </si>
  <si>
    <t>1. Review factors listed in Column B and identify around 5 or 6 important considerations for the specific decision you are using these studies to make.</t>
    <phoneticPr fontId="2" type="noConversion"/>
  </si>
  <si>
    <t>7. Repeat steps 4 to 6 for each additional study you review.</t>
    <phoneticPr fontId="2" type="noConversion"/>
  </si>
  <si>
    <t>1. For each question, enter the relevant details about the study in Column A.</t>
    <phoneticPr fontId="2" type="noConversion"/>
  </si>
  <si>
    <t>3. Complete Steps 1 and 2 for Q1 through Q12.</t>
    <phoneticPr fontId="2" type="noConversion"/>
  </si>
  <si>
    <r>
      <rPr>
        <b/>
        <sz val="11"/>
        <color theme="1"/>
        <rFont val="Times New Roman"/>
        <family val="1"/>
      </rPr>
      <t>Instructions</t>
    </r>
    <r>
      <rPr>
        <sz val="11"/>
        <color theme="1"/>
        <rFont val="Times New Roman"/>
        <family val="1"/>
      </rPr>
      <t xml:space="preserve"> (Click add/subtract button in the left-hand margin to expand or collapse the detailed instructions)</t>
    </r>
  </si>
  <si>
    <t>Identify studies you want to evaluate for relevance and credibility.</t>
    <phoneticPr fontId="2" type="noConversion"/>
  </si>
  <si>
    <t>List each study in the tab “1 Summary Table”.</t>
    <phoneticPr fontId="2" type="noConversion"/>
  </si>
  <si>
    <t>Go to the tab “2 Relevance Index” (RI) and complete the worksheet for each study.</t>
    <phoneticPr fontId="2" type="noConversion"/>
  </si>
  <si>
    <t>Go to the tab “3 Credibility Index” (CI) and complete the worksheet for any studies that you found relevant.</t>
    <phoneticPr fontId="2" type="noConversion"/>
  </si>
  <si>
    <t>Return to “1 Summary Table” to review overall results.</t>
    <phoneticPr fontId="2" type="noConversion"/>
  </si>
  <si>
    <r>
      <t xml:space="preserve">Instructions </t>
    </r>
    <r>
      <rPr>
        <sz val="11"/>
        <color theme="1"/>
        <rFont val="Times New Roman"/>
        <family val="1"/>
      </rPr>
      <t>(Click add/subtract button in the left-hand margin to expand or collapse the detailed instructions)</t>
    </r>
    <phoneticPr fontId="2" type="noConversion"/>
  </si>
  <si>
    <t>5. Use Column H to indicate how similar the study's context is to yours on this factor.</t>
    <phoneticPr fontId="2" type="noConversion"/>
  </si>
  <si>
    <t>Points earned:</t>
    <phoneticPr fontId="2" type="noConversion"/>
  </si>
  <si>
    <t>2. Select ONE statement per question based on the details of the study.</t>
    <phoneticPr fontId="2" type="noConversion"/>
  </si>
  <si>
    <t>Max points:</t>
    <phoneticPr fontId="2" type="noConversion"/>
  </si>
  <si>
    <t xml:space="preserve">It is not clear who conducted the study. </t>
  </si>
  <si>
    <t>The study was conducted by an external evaluator acting as an independent third party, i.e., not paid by the vendor. This may include collaborations between the evaluator and implementing partners such as school districts or other educational or research institutions, but excluding the program vendor. The key distinction is that those conducting and/or commissioning the evaluation should not stand to make a profit from the sale of the product/ intervention being tested.</t>
  </si>
  <si>
    <t xml:space="preserve">The study was published in a peer-reviewed journal. </t>
  </si>
  <si>
    <t>Length of exposure is about right.</t>
  </si>
  <si>
    <t xml:space="preserve">The characteristics of the study sample are not clear. </t>
  </si>
  <si>
    <t>The characteristics of the study sample are moderately clear.</t>
  </si>
  <si>
    <t>The characteristics of the study sample are very clear.</t>
  </si>
  <si>
    <t>The size of the study sample is unclear.</t>
  </si>
  <si>
    <t>The study does not have an adequate number of participants.</t>
  </si>
  <si>
    <t>The study had a fairly adequate number of participants.</t>
  </si>
  <si>
    <t>The study has a very adequate number of participants.</t>
  </si>
  <si>
    <t>It is not clear whether there is a comparison group.</t>
  </si>
  <si>
    <t>There is no comparison group.</t>
  </si>
  <si>
    <t>Study includes comparison group which does not participate in the program being studied.</t>
  </si>
  <si>
    <t>Unclear how study participants were selected to be in the program or the comparison group.</t>
  </si>
  <si>
    <t>The selection process for program v. comparison group participants is clearly described.</t>
  </si>
  <si>
    <r>
      <t xml:space="preserve">The intervention is provided to students/teachers/schools who are above a cutoff point for eligibility. The study compares participants who are </t>
    </r>
    <r>
      <rPr>
        <u/>
        <sz val="10.5"/>
        <color theme="1"/>
        <rFont val="Times New Roman"/>
        <family val="1"/>
      </rPr>
      <t>just above</t>
    </r>
    <r>
      <rPr>
        <sz val="10.5"/>
        <color theme="1"/>
        <rFont val="Times New Roman"/>
        <family val="1"/>
      </rPr>
      <t xml:space="preserve"> the eligibility cutoff, and therefore receive the intervention, with students/teachers/schools who are just below the eligibility cutoff, and therefore do not receive the intervention. This design should ensure the two groups are highly comparable.</t>
    </r>
  </si>
  <si>
    <t>The study uses a randomized controlled trial (RCT) in which students/teachers/schools are chosen at random to either participate in the program or to serve in a comparison group.</t>
  </si>
  <si>
    <t>The study uses a randomized controlled trial (RCT) plus utilizes propensity score matching or statistical matching techniques.</t>
  </si>
  <si>
    <t>The study does not address other possible explanations for the results.</t>
  </si>
  <si>
    <t>The study includes only post-test measures.</t>
  </si>
  <si>
    <t>The study includes before and after measures, e.g., a pre-test/survey/observation before the intervention and a post-test/survey/observation after the intervention.</t>
  </si>
  <si>
    <t>The study assesses outcomes multiple times before/ during and after the intervention, which may include a second post-test several months after the intervention has ended.</t>
  </si>
  <si>
    <r>
      <t xml:space="preserve">Q4. Components of the program: </t>
    </r>
    <r>
      <rPr>
        <sz val="10.5"/>
        <color rgb="FFFFFFFF"/>
        <rFont val="Times New Roman"/>
        <family val="1"/>
      </rPr>
      <t>Is it clear</t>
    </r>
    <r>
      <rPr>
        <b/>
        <sz val="10.5"/>
        <color rgb="FFFFFFFF"/>
        <rFont val="Times New Roman"/>
        <family val="1"/>
      </rPr>
      <t xml:space="preserve"> </t>
    </r>
    <r>
      <rPr>
        <sz val="10.5"/>
        <color rgb="FFFFFFFF"/>
        <rFont val="Times New Roman"/>
        <family val="1"/>
      </rPr>
      <t>what program participants were supposed to do compared with business as usual conditions?</t>
    </r>
    <phoneticPr fontId="2" type="noConversion"/>
  </si>
  <si>
    <r>
      <t xml:space="preserve">Q5. Implementation of the program:  </t>
    </r>
    <r>
      <rPr>
        <sz val="10.5"/>
        <color rgb="FFFFFFFF"/>
        <rFont val="Times New Roman"/>
        <family val="1"/>
      </rPr>
      <t>How clear are the details of implementation (dosage, frequency, whether it was implemented in/out of the classroom, before/ after school hours etc.)?</t>
    </r>
    <phoneticPr fontId="2" type="noConversion"/>
  </si>
  <si>
    <t>Q7. Sample characteristics: Are the characteristics of the sample clear?</t>
    <phoneticPr fontId="2" type="noConversion"/>
  </si>
  <si>
    <t>Q8. Sample size: Does the size of the sample, i.e., the number of participants in the study, seem adequate? (For researchers: do you think there is enough power to detect an effect if indeed there is one?)</t>
    <phoneticPr fontId="2" type="noConversion"/>
  </si>
  <si>
    <t>10a. Clarity of selection process for program v. comparison groups.</t>
    <phoneticPr fontId="2" type="noConversion"/>
  </si>
  <si>
    <t>10b. Study design</t>
    <phoneticPr fontId="2" type="noConversion"/>
  </si>
  <si>
    <t>10c. Addressing other possible explanations for the results: If the study does not assign students/teachers/schools at random to participate in the program or in the comparison group, do the authors attempt to account for, or at least discuss the possibility of, other factors besides the treatment explaining the difference in outcomes between treatment and control groups?</t>
    <phoneticPr fontId="2" type="noConversion"/>
  </si>
  <si>
    <t>Q11. Measuring outcomes over time</t>
    <phoneticPr fontId="2" type="noConversion"/>
  </si>
  <si>
    <t>Credibility rating:</t>
    <phoneticPr fontId="2" type="noConversion"/>
  </si>
  <si>
    <t>Credibility parameter:</t>
    <phoneticPr fontId="2" type="noConversion"/>
  </si>
  <si>
    <t>not at all/unavailable</t>
    <phoneticPr fontId="2" type="noConversion"/>
  </si>
  <si>
    <r>
      <t xml:space="preserve">Instructions </t>
    </r>
    <r>
      <rPr>
        <sz val="11"/>
        <color theme="1"/>
        <rFont val="Times New Roman"/>
        <family val="1"/>
      </rPr>
      <t xml:space="preserve">(Click add/subtract button in the left-hand margin to expand or collapse the detailed instructions) </t>
    </r>
  </si>
  <si>
    <t>2. Use the dropdown menu in the cells in Column C to indicate how important each of these factors is for this decision context.</t>
  </si>
  <si>
    <t>6. Return to Summary Table tab and decide whether you want to use this study as evidence for this decision.</t>
  </si>
  <si>
    <t>Additional factors that you want to consider</t>
  </si>
  <si>
    <t>2. The score earned by the study for each question will appear in the blue band at the top of each set of radio buttons.</t>
  </si>
  <si>
    <t xml:space="preserve">•Before reading a study you want to consider as evidence, look over the items in each index (Relevance and Credibility) so you know what to look out for. </t>
  </si>
  <si>
    <t>The study compares outcomes for students/teachers/schools who are receiving the program with outcomes for counterparts who have similar characteristics but are not participating in the program. It may do so either by identifying a comparison group that shares several known characteristics with the program participants, e.g., same grade, gender, SES (statistical matching), or by first matching program participants with non-participants who could have been just as likely to participate in the program, as predicted by known characteristics such as age and gender, and then comparing outcomes for the matched pairs (propensity score matching techniques).</t>
  </si>
  <si>
    <r>
      <rPr>
        <u/>
        <vertAlign val="superscript"/>
        <sz val="11"/>
        <color theme="10"/>
        <rFont val="Times New Roman"/>
        <family val="1"/>
      </rPr>
      <t>3</t>
    </r>
    <r>
      <rPr>
        <u/>
        <sz val="11"/>
        <color theme="10"/>
        <rFont val="Times New Roman"/>
        <family val="1"/>
      </rPr>
      <t xml:space="preserve"> https://www.povertyactionlab.org/research-resources/measurement-and-data-collection</t>
    </r>
  </si>
  <si>
    <r>
      <t>4</t>
    </r>
    <r>
      <rPr>
        <sz val="11"/>
        <color theme="1"/>
        <rFont val="Times New Roman"/>
        <family val="1"/>
      </rPr>
      <t xml:space="preserve"> Lohr. S. L. (2010). </t>
    </r>
    <r>
      <rPr>
        <i/>
        <sz val="11"/>
        <color theme="1"/>
        <rFont val="Times New Roman"/>
        <family val="1"/>
      </rPr>
      <t>Sampling: Design and Analysis</t>
    </r>
    <r>
      <rPr>
        <sz val="11"/>
        <color theme="1"/>
        <rFont val="Times New Roman"/>
        <family val="1"/>
      </rPr>
      <t>. 2</t>
    </r>
    <r>
      <rPr>
        <vertAlign val="superscript"/>
        <sz val="11"/>
        <color theme="1"/>
        <rFont val="Times New Roman"/>
        <family val="1"/>
      </rPr>
      <t>nd</t>
    </r>
    <r>
      <rPr>
        <sz val="11"/>
        <color theme="1"/>
        <rFont val="Times New Roman"/>
        <family val="1"/>
      </rPr>
      <t xml:space="preserve"> ed. Boston, MA: Brooks/Cole, Cengage Learning.</t>
    </r>
  </si>
  <si>
    <t>1. For first time users, review tab 4 "Background &amp; References"</t>
  </si>
  <si>
    <t>2. Fill in Columns B-D with information about the studies you want to evaluate. Column A is optional.</t>
  </si>
  <si>
    <t>3. Proceed to Relevance Index tab and complete the worksheet for each study.</t>
  </si>
  <si>
    <t>4. Return to Summary Table tab. Columns E-G in Summary Table will self-populate based on your inputs in Relevance Index tab.</t>
  </si>
  <si>
    <t>5. In Column H, use the dropdown to indicate whether you want to use this study as relevant evidence.</t>
  </si>
  <si>
    <t>6. Proceed to Credibility Index tab and complete the worksheet for any studies that you found relevant.</t>
  </si>
  <si>
    <t>7. Return to Summary Table tab. Columns I-K will populate based on your inputs in the Credibility Index.</t>
  </si>
  <si>
    <r>
      <t xml:space="preserve">1. For each question below (Q1-11), select </t>
    </r>
    <r>
      <rPr>
        <b/>
        <u/>
        <sz val="11"/>
        <color theme="1"/>
        <rFont val="Times New Roman"/>
        <family val="1"/>
      </rPr>
      <t>one</t>
    </r>
    <r>
      <rPr>
        <sz val="11"/>
        <color theme="1"/>
        <rFont val="Times New Roman"/>
        <family val="1"/>
      </rPr>
      <t xml:space="preserve"> relevant statement that most accurately reflects the study you are reviewing and click on the corresponding radio button.</t>
    </r>
  </si>
  <si>
    <r>
      <rPr>
        <vertAlign val="superscript"/>
        <sz val="11"/>
        <color theme="1"/>
        <rFont val="Times New Roman"/>
        <family val="1"/>
      </rPr>
      <t>1</t>
    </r>
    <r>
      <rPr>
        <sz val="11"/>
        <color theme="1"/>
        <rFont val="Times New Roman"/>
        <family val="1"/>
      </rPr>
      <t xml:space="preserve"> The design of these indices was influenced by a number of sources: Digital Promise’s “Evaluating Studies of Ed Tech Products,” NESTA’s “Standards of Evidence,” Alliance for Useful Evidence’s “What Counts as Good Evidence,” David Gough’s “Weight of Evidence: A Framework for the Appraisal of the Quality and Relevance of Evidence,” and REL Central’s Draft “Applicability of Evidence-Based Interventions” Tool.</t>
    </r>
    <phoneticPr fontId="2" type="noConversion"/>
  </si>
  <si>
    <t>3. Repeat steps 1-2 for each additional study you want to evaluate for credibility.</t>
    <phoneticPr fontId="2" type="noConversion"/>
  </si>
  <si>
    <t>4. (Optional) Enter information provided in the study about this factor in Column G for the first study.</t>
  </si>
  <si>
    <t>Notes</t>
  </si>
  <si>
    <r>
      <t xml:space="preserve">These indices are currently designed to be used to assess studies which focus on </t>
    </r>
    <r>
      <rPr>
        <u/>
        <sz val="12"/>
        <color rgb="FF3333CC"/>
        <rFont val="Times New Roman"/>
        <family val="1"/>
      </rPr>
      <t>single investigations</t>
    </r>
    <r>
      <rPr>
        <sz val="12"/>
        <color rgb="FF3333CC"/>
        <rFont val="Times New Roman"/>
        <family val="1"/>
      </rPr>
      <t xml:space="preserve"> rather than for studies which summarize the results of many investigations, such as </t>
    </r>
    <r>
      <rPr>
        <b/>
        <sz val="12"/>
        <color rgb="FF3333CC"/>
        <rFont val="Times New Roman"/>
        <family val="1"/>
      </rPr>
      <t>literature reviews or meta-analyses</t>
    </r>
    <r>
      <rPr>
        <sz val="12"/>
        <color rgb="FF3333CC"/>
        <rFont val="Times New Roman"/>
        <family val="1"/>
      </rPr>
      <t>. 
While such summaries are useful for providing a general idea of “what works,” it would be hard to assess the relevance of an overview study to your own context or to evaluate the credibility of all studies at once.  
You may wish to identify individual studies included in an overview to which you can apply these indices.</t>
    </r>
  </si>
  <si>
    <t>3. (Optional) Enter details about this factor from your own context in Column E.</t>
    <phoneticPr fontId="2" type="noConversion"/>
  </si>
  <si>
    <t>For a detailed explanation of the calculations used in the RI, click here.</t>
    <phoneticPr fontId="2" type="noConversion"/>
  </si>
  <si>
    <t>For a detailed explanation of the calculations used in the CI, click here.</t>
    <phoneticPr fontId="2" type="noConversion"/>
  </si>
  <si>
    <t>Hollands, F. M., Escueta, M.M., Pan, Y., Levin, H. M., Corter, J., &amp; Wang, K. (2019). Relevance and credibility indices for studies of educational interventions. Teachers College, Columbia University.</t>
  </si>
  <si>
    <t>Relevance and Credibility Indices for Studies of Educational Interventions</t>
  </si>
  <si>
    <r>
      <t>What are the Relevance and Credibility Indices</t>
    </r>
    <r>
      <rPr>
        <b/>
        <vertAlign val="superscript"/>
        <sz val="11"/>
        <color theme="1"/>
        <rFont val="Times New Roman"/>
        <family val="1"/>
      </rPr>
      <t>1</t>
    </r>
    <r>
      <rPr>
        <b/>
        <sz val="11"/>
        <color theme="1"/>
        <rFont val="Times New Roman"/>
        <family val="1"/>
      </rPr>
      <t>?</t>
    </r>
  </si>
  <si>
    <r>
      <t xml:space="preserve">In order to help you assess whether existing research studies are credible and relevant to your own educational context, our reserach team has developed two indices, the Relevance Index and the Credibility Index. These are essentially rubrics that can help decision-makers evaluate existing studies of educational programs, strategies or interventions to determine how seriously to take the findings and whether they can safely assume the findings might apply in their own context.* 
The </t>
    </r>
    <r>
      <rPr>
        <b/>
        <i/>
        <sz val="11"/>
        <color theme="1"/>
        <rFont val="Times New Roman"/>
        <family val="1"/>
      </rPr>
      <t>Relevance Index</t>
    </r>
    <r>
      <rPr>
        <i/>
        <sz val="11"/>
        <color theme="1"/>
        <rFont val="Times New Roman"/>
        <family val="1"/>
      </rPr>
      <t xml:space="preserve"> helps decision-makers determine how well a study’s findings apply in their own context by assessing the extent to which various characteristics of the study population and context are similar to the decision-maker’s own context.
The </t>
    </r>
    <r>
      <rPr>
        <b/>
        <i/>
        <sz val="11"/>
        <color theme="1"/>
        <rFont val="Times New Roman"/>
        <family val="1"/>
      </rPr>
      <t>Credibility Index</t>
    </r>
    <r>
      <rPr>
        <i/>
        <sz val="11"/>
        <color theme="1"/>
        <rFont val="Times New Roman"/>
        <family val="1"/>
      </rPr>
      <t xml:space="preserve"> helps decision-makers assess how seriously to take the findings of a study by scoring it on the quality of study design.  </t>
    </r>
  </si>
  <si>
    <t xml:space="preserve">8. (Optional) Enter each study's effect size, and decide whether you want to adjust the effect size found in the study for your context using our suggested adjustment factor (“Credibility Parameter”). </t>
  </si>
  <si>
    <t>The study discusses other possible explanations for the results OR does not need to because participants were assigned at random to treatment or comparison groups and were comparable at the beginning and end of the treatment period (i.e., were comparable at baseline and did not suffer high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</si>
</sst>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charset val="134"/>
      <scheme val="minor"/>
    </font>
    <font>
      <sz val="11"/>
      <color theme="1"/>
      <name val="Calibri"/>
      <family val="2"/>
      <charset val="134"/>
      <scheme val="minor"/>
    </font>
    <font>
      <sz val="9"/>
      <name val="Calibri"/>
      <family val="2"/>
      <charset val="134"/>
      <scheme val="minor"/>
    </font>
    <font>
      <b/>
      <sz val="11"/>
      <color theme="1"/>
      <name val="Times New Roman"/>
      <family val="1"/>
    </font>
    <font>
      <b/>
      <vertAlign val="superscript"/>
      <sz val="11"/>
      <color theme="1"/>
      <name val="Times New Roman"/>
      <family val="1"/>
    </font>
    <font>
      <i/>
      <sz val="11"/>
      <color theme="1"/>
      <name val="Times New Roman"/>
      <family val="1"/>
    </font>
    <font>
      <sz val="11"/>
      <color theme="1"/>
      <name val="Times New Roman"/>
      <family val="1"/>
    </font>
    <font>
      <b/>
      <i/>
      <sz val="11"/>
      <color theme="1"/>
      <name val="Times New Roman"/>
      <family val="1"/>
    </font>
    <font>
      <vertAlign val="superscript"/>
      <sz val="11"/>
      <color theme="1"/>
      <name val="Times New Roman"/>
      <family val="1"/>
    </font>
    <font>
      <sz val="10"/>
      <color theme="1"/>
      <name val="Times New Roman"/>
      <family val="1"/>
    </font>
    <font>
      <u/>
      <sz val="11"/>
      <color theme="10"/>
      <name val="Calibri"/>
      <family val="2"/>
      <charset val="134"/>
      <scheme val="minor"/>
    </font>
    <font>
      <i/>
      <sz val="9"/>
      <color theme="1"/>
      <name val="Times New Roman"/>
      <family val="1"/>
    </font>
    <font>
      <sz val="12"/>
      <color theme="1"/>
      <name val="Times New Roman"/>
      <family val="1"/>
    </font>
    <font>
      <b/>
      <sz val="11"/>
      <color rgb="FF000000"/>
      <name val="Times New Roman"/>
      <family val="1"/>
    </font>
    <font>
      <sz val="11"/>
      <color rgb="FF000000"/>
      <name val="Times New Roman"/>
      <family val="1"/>
    </font>
    <font>
      <sz val="11"/>
      <color rgb="FFFFFFFF"/>
      <name val="Times New Roman"/>
      <family val="1"/>
    </font>
    <font>
      <sz val="10.5"/>
      <color theme="1"/>
      <name val="Times New Roman"/>
      <family val="1"/>
    </font>
    <font>
      <sz val="10.5"/>
      <color rgb="FF000000"/>
      <name val="Times New Roman"/>
      <family val="1"/>
    </font>
    <font>
      <b/>
      <sz val="10"/>
      <color theme="1"/>
      <name val="Times New Roman"/>
      <family val="1"/>
    </font>
    <font>
      <b/>
      <i/>
      <sz val="10"/>
      <color rgb="FF000000"/>
      <name val="Times New Roman"/>
      <family val="1"/>
    </font>
    <font>
      <sz val="10"/>
      <color rgb="FF000000"/>
      <name val="Times New Roman"/>
      <family val="1"/>
    </font>
    <font>
      <b/>
      <sz val="10"/>
      <color rgb="FF000000"/>
      <name val="Times New Roman"/>
      <family val="1"/>
    </font>
    <font>
      <b/>
      <u/>
      <sz val="10"/>
      <color rgb="FF000000"/>
      <name val="Times New Roman"/>
      <family val="1"/>
    </font>
    <font>
      <b/>
      <sz val="10.5"/>
      <color rgb="FFFFFFFF"/>
      <name val="Times New Roman"/>
      <family val="1"/>
    </font>
    <font>
      <sz val="10.5"/>
      <color rgb="FFFFFFFF"/>
      <name val="Times New Roman"/>
      <family val="1"/>
    </font>
    <font>
      <b/>
      <sz val="11"/>
      <color rgb="FFFFFFFF"/>
      <name val="Times New Roman"/>
      <family val="1"/>
    </font>
    <font>
      <u/>
      <sz val="11"/>
      <color theme="10"/>
      <name val="Times New Roman"/>
      <family val="1"/>
    </font>
    <font>
      <b/>
      <sz val="12"/>
      <color theme="1"/>
      <name val="Times New Roman"/>
      <family val="1"/>
    </font>
    <font>
      <sz val="9"/>
      <color indexed="81"/>
      <name val="Tahoma"/>
      <family val="2"/>
    </font>
    <font>
      <b/>
      <sz val="9"/>
      <color indexed="81"/>
      <name val="Tahoma"/>
      <family val="2"/>
    </font>
    <font>
      <b/>
      <i/>
      <sz val="10"/>
      <color theme="1"/>
      <name val="Times New Roman"/>
      <family val="1"/>
    </font>
    <font>
      <b/>
      <i/>
      <sz val="11"/>
      <color rgb="FF000000"/>
      <name val="Times New Roman"/>
      <family val="1"/>
    </font>
    <font>
      <b/>
      <sz val="11"/>
      <color rgb="FF000000"/>
      <name val="宋体"/>
      <family val="3"/>
      <charset val="134"/>
    </font>
    <font>
      <sz val="9"/>
      <color theme="1"/>
      <name val="Times New Roman"/>
      <family val="1"/>
    </font>
    <font>
      <b/>
      <i/>
      <sz val="9"/>
      <color rgb="FF000000"/>
      <name val="Times New Roman"/>
      <family val="1"/>
    </font>
    <font>
      <u/>
      <vertAlign val="superscript"/>
      <sz val="11"/>
      <color theme="10"/>
      <name val="Times New Roman"/>
      <family val="1"/>
    </font>
    <font>
      <sz val="8"/>
      <color rgb="FF000000"/>
      <name val="Segoe UI"/>
      <family val="2"/>
    </font>
    <font>
      <b/>
      <i/>
      <sz val="10.5"/>
      <color theme="1"/>
      <name val="Times New Roman"/>
      <family val="1"/>
    </font>
    <font>
      <b/>
      <i/>
      <sz val="10.5"/>
      <color rgb="FF000000"/>
      <name val="Times New Roman"/>
      <family val="1"/>
    </font>
    <font>
      <sz val="14"/>
      <color rgb="FFFFFFFF"/>
      <name val="Times New Roman"/>
      <family val="1"/>
    </font>
    <font>
      <b/>
      <sz val="10"/>
      <name val="Times New Roman"/>
      <family val="1"/>
    </font>
    <font>
      <u/>
      <sz val="10.5"/>
      <color theme="1"/>
      <name val="Times New Roman"/>
      <family val="1"/>
    </font>
    <font>
      <sz val="11"/>
      <color theme="0"/>
      <name val="Times New Roman"/>
      <family val="1"/>
    </font>
    <font>
      <b/>
      <u/>
      <sz val="11"/>
      <color theme="1"/>
      <name val="Times New Roman"/>
      <family val="1"/>
    </font>
    <font>
      <sz val="12"/>
      <color rgb="FF3333CC"/>
      <name val="Times New Roman"/>
      <family val="1"/>
    </font>
    <font>
      <u/>
      <sz val="12"/>
      <color rgb="FF3333CC"/>
      <name val="Times New Roman"/>
      <family val="1"/>
    </font>
    <font>
      <b/>
      <sz val="12"/>
      <color rgb="FF3333CC"/>
      <name val="Times New Roman"/>
      <family val="1"/>
    </font>
    <font>
      <b/>
      <sz val="12"/>
      <color theme="0"/>
      <name val="Times New Roman"/>
      <family val="1"/>
    </font>
    <font>
      <sz val="12"/>
      <color theme="0"/>
      <name val="Times New Roman"/>
      <family val="1"/>
    </font>
    <font>
      <b/>
      <sz val="14"/>
      <color theme="0"/>
      <name val="Times New Roman"/>
      <family val="1"/>
    </font>
    <font>
      <i/>
      <u/>
      <sz val="11"/>
      <color theme="10"/>
      <name val="Times New Roman"/>
      <family val="1"/>
    </font>
    <font>
      <b/>
      <sz val="9"/>
      <color rgb="FF002060"/>
      <name val="Calibri"/>
      <family val="2"/>
      <scheme val="minor"/>
    </font>
  </fonts>
  <fills count="15">
    <fill>
      <patternFill patternType="none"/>
    </fill>
    <fill>
      <patternFill patternType="gray125"/>
    </fill>
    <fill>
      <patternFill patternType="solid">
        <fgColor rgb="FFDEEAF6"/>
        <bgColor indexed="64"/>
      </patternFill>
    </fill>
    <fill>
      <patternFill patternType="solid">
        <fgColor theme="4" tint="0.79998168889431442"/>
        <bgColor indexed="64"/>
      </patternFill>
    </fill>
    <fill>
      <patternFill patternType="solid">
        <fgColor rgb="FFBDD6EE"/>
        <bgColor indexed="64"/>
      </patternFill>
    </fill>
    <fill>
      <patternFill patternType="solid">
        <fgColor rgb="FFFFF2CC"/>
        <bgColor indexed="64"/>
      </patternFill>
    </fill>
    <fill>
      <patternFill patternType="solid">
        <fgColor rgb="FFFFFFFF"/>
        <bgColor indexed="64"/>
      </patternFill>
    </fill>
    <fill>
      <patternFill patternType="solid">
        <fgColor rgb="FFFBE4D5"/>
        <bgColor indexed="64"/>
      </patternFill>
    </fill>
    <fill>
      <patternFill patternType="solid">
        <fgColor rgb="FF2F5496"/>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D9E2F3"/>
        <bgColor indexed="64"/>
      </patternFill>
    </fill>
    <fill>
      <patternFill patternType="solid">
        <fgColor rgb="FF4472C4"/>
        <bgColor indexed="64"/>
      </patternFill>
    </fill>
    <fill>
      <patternFill patternType="solid">
        <fgColor theme="4" tint="-0.249977111117893"/>
        <bgColor indexed="64"/>
      </patternFill>
    </fill>
    <fill>
      <patternFill patternType="solid">
        <fgColor rgb="FF0070C0"/>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alignment vertical="center"/>
    </xf>
    <xf numFmtId="9" fontId="1"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246">
    <xf numFmtId="0" fontId="0" fillId="0" borderId="0" xfId="0">
      <alignment vertical="center"/>
    </xf>
    <xf numFmtId="0" fontId="3" fillId="0" borderId="0" xfId="0" applyFont="1">
      <alignment vertical="center"/>
    </xf>
    <xf numFmtId="0" fontId="6" fillId="0" borderId="0" xfId="0" applyFont="1">
      <alignment vertical="center"/>
    </xf>
    <xf numFmtId="0" fontId="6" fillId="0" borderId="0" xfId="0" applyFont="1" applyAlignment="1">
      <alignment vertical="center" wrapText="1"/>
    </xf>
    <xf numFmtId="0" fontId="3" fillId="0" borderId="0" xfId="0" applyFont="1" applyAlignment="1">
      <alignment vertical="center" wrapText="1"/>
    </xf>
    <xf numFmtId="0" fontId="6" fillId="0" borderId="0" xfId="0" applyFont="1" applyAlignment="1">
      <alignment horizontal="center" vertical="center"/>
    </xf>
    <xf numFmtId="0" fontId="3" fillId="0" borderId="3" xfId="0" applyFont="1" applyBorder="1" applyAlignment="1">
      <alignment vertical="center" wrapText="1"/>
    </xf>
    <xf numFmtId="0" fontId="6" fillId="0" borderId="5" xfId="0" applyFont="1" applyBorder="1" applyAlignment="1">
      <alignment horizontal="center" vertical="center" wrapText="1"/>
    </xf>
    <xf numFmtId="0" fontId="3" fillId="2" borderId="2" xfId="0" applyFont="1" applyFill="1" applyBorder="1" applyAlignment="1">
      <alignment vertical="center" wrapText="1"/>
    </xf>
    <xf numFmtId="0" fontId="14" fillId="2" borderId="3" xfId="0" applyFont="1" applyFill="1" applyBorder="1" applyAlignment="1">
      <alignment vertical="center" wrapText="1"/>
    </xf>
    <xf numFmtId="49" fontId="3" fillId="0" borderId="3" xfId="0" applyNumberFormat="1" applyFont="1" applyBorder="1" applyAlignment="1">
      <alignment vertical="center" wrapText="1"/>
    </xf>
    <xf numFmtId="0" fontId="13" fillId="7" borderId="2" xfId="0" applyFont="1" applyFill="1" applyBorder="1" applyAlignment="1">
      <alignment horizontal="center" vertical="center" wrapText="1"/>
    </xf>
    <xf numFmtId="0" fontId="14" fillId="7" borderId="3" xfId="0" applyFont="1" applyFill="1" applyBorder="1" applyAlignment="1">
      <alignment horizontal="center" vertical="center" wrapText="1"/>
    </xf>
    <xf numFmtId="0" fontId="13" fillId="0" borderId="3" xfId="0" applyFont="1" applyBorder="1" applyAlignment="1">
      <alignment horizontal="center" vertical="center" wrapText="1"/>
    </xf>
    <xf numFmtId="0" fontId="14" fillId="0" borderId="5" xfId="0" applyFont="1" applyBorder="1" applyAlignment="1">
      <alignment horizontal="center" vertical="center" wrapText="1"/>
    </xf>
    <xf numFmtId="0" fontId="9" fillId="0" borderId="6" xfId="0" applyFont="1" applyBorder="1" applyAlignment="1">
      <alignment horizontal="center" vertical="center" wrapText="1"/>
    </xf>
    <xf numFmtId="0" fontId="20" fillId="5" borderId="6" xfId="0" applyFont="1" applyFill="1" applyBorder="1" applyAlignment="1">
      <alignment horizontal="center" vertical="center" wrapText="1"/>
    </xf>
    <xf numFmtId="0" fontId="19" fillId="4" borderId="14" xfId="0" applyFont="1" applyFill="1" applyBorder="1" applyAlignment="1">
      <alignment horizontal="center" vertical="center" wrapText="1"/>
    </xf>
    <xf numFmtId="0" fontId="23" fillId="8" borderId="3" xfId="0" applyFont="1" applyFill="1" applyBorder="1" applyAlignment="1">
      <alignment vertical="center" wrapText="1"/>
    </xf>
    <xf numFmtId="0" fontId="17" fillId="5" borderId="3" xfId="0" applyFont="1" applyFill="1" applyBorder="1" applyAlignment="1">
      <alignment vertical="center" wrapText="1"/>
    </xf>
    <xf numFmtId="0" fontId="17" fillId="5" borderId="5" xfId="0" applyFont="1" applyFill="1" applyBorder="1" applyAlignment="1">
      <alignment horizontal="center" vertical="center" wrapText="1"/>
    </xf>
    <xf numFmtId="0" fontId="16" fillId="0" borderId="3" xfId="0" applyFont="1" applyBorder="1" applyAlignment="1">
      <alignment vertical="center" wrapText="1"/>
    </xf>
    <xf numFmtId="0" fontId="16" fillId="0" borderId="5" xfId="0" applyFont="1" applyBorder="1" applyAlignment="1">
      <alignment horizontal="center" vertical="center" wrapText="1"/>
    </xf>
    <xf numFmtId="0" fontId="6" fillId="0" borderId="0" xfId="0" applyFont="1" applyFill="1">
      <alignment vertical="center"/>
    </xf>
    <xf numFmtId="0" fontId="25" fillId="8" borderId="5" xfId="0" applyFont="1" applyFill="1" applyBorder="1" applyAlignment="1">
      <alignment vertical="center" wrapText="1"/>
    </xf>
    <xf numFmtId="0" fontId="15" fillId="8" borderId="5" xfId="0" applyFont="1" applyFill="1" applyBorder="1" applyAlignment="1">
      <alignment horizontal="center" vertical="center" wrapText="1"/>
    </xf>
    <xf numFmtId="0" fontId="14" fillId="5" borderId="5" xfId="0" applyFont="1" applyFill="1" applyBorder="1" applyAlignment="1">
      <alignment vertical="center" wrapText="1"/>
    </xf>
    <xf numFmtId="0" fontId="6" fillId="0" borderId="5" xfId="0" applyFont="1" applyBorder="1" applyAlignment="1">
      <alignment vertical="center" wrapText="1"/>
    </xf>
    <xf numFmtId="0" fontId="24" fillId="8" borderId="1" xfId="0" applyFont="1" applyFill="1" applyBorder="1" applyAlignment="1">
      <alignment horizontal="center" vertical="center" wrapText="1"/>
    </xf>
    <xf numFmtId="0" fontId="17" fillId="5" borderId="3" xfId="0" applyFont="1" applyFill="1" applyBorder="1" applyAlignment="1">
      <alignment horizontal="center" vertical="center" wrapText="1"/>
    </xf>
    <xf numFmtId="0" fontId="23" fillId="8" borderId="1" xfId="0" applyFont="1" applyFill="1" applyBorder="1" applyAlignment="1">
      <alignment vertical="center" wrapText="1"/>
    </xf>
    <xf numFmtId="0" fontId="23" fillId="8" borderId="4" xfId="0" applyFont="1" applyFill="1" applyBorder="1" applyAlignment="1">
      <alignment vertical="center" wrapText="1"/>
    </xf>
    <xf numFmtId="0" fontId="23" fillId="8" borderId="4" xfId="0" applyFont="1" applyFill="1" applyBorder="1" applyAlignment="1">
      <alignment horizontal="center" vertical="center" wrapText="1"/>
    </xf>
    <xf numFmtId="0" fontId="23" fillId="8" borderId="5" xfId="0" applyFont="1" applyFill="1" applyBorder="1" applyAlignment="1">
      <alignment horizontal="center" vertical="center" wrapText="1"/>
    </xf>
    <xf numFmtId="0" fontId="6" fillId="0" borderId="0" xfId="0" applyFont="1" applyBorder="1">
      <alignment vertical="center"/>
    </xf>
    <xf numFmtId="0" fontId="13" fillId="0" borderId="0" xfId="0" applyFont="1" applyBorder="1" applyAlignment="1">
      <alignment vertical="center" wrapText="1"/>
    </xf>
    <xf numFmtId="0" fontId="14" fillId="0" borderId="0" xfId="0" applyFont="1" applyBorder="1" applyAlignment="1">
      <alignment horizontal="center" vertical="center" wrapText="1"/>
    </xf>
    <xf numFmtId="9" fontId="14" fillId="0" borderId="0" xfId="0" applyNumberFormat="1" applyFont="1" applyBorder="1" applyAlignment="1">
      <alignment horizontal="center" vertical="center" wrapText="1"/>
    </xf>
    <xf numFmtId="0" fontId="6" fillId="0" borderId="0" xfId="0" applyFont="1" applyBorder="1" applyAlignment="1">
      <alignment horizontal="center" vertical="center"/>
    </xf>
    <xf numFmtId="0" fontId="16" fillId="5" borderId="1" xfId="0" applyFont="1" applyFill="1" applyBorder="1" applyAlignment="1">
      <alignment vertical="center" wrapText="1"/>
    </xf>
    <xf numFmtId="0" fontId="9" fillId="0" borderId="6" xfId="0" applyFont="1" applyBorder="1" applyAlignment="1">
      <alignment horizontal="center" vertical="center" wrapText="1"/>
    </xf>
    <xf numFmtId="0" fontId="19" fillId="4" borderId="14" xfId="0" applyFont="1" applyFill="1" applyBorder="1" applyAlignment="1">
      <alignment horizontal="center" vertical="center" wrapText="1"/>
    </xf>
    <xf numFmtId="0" fontId="6" fillId="0" borderId="0" xfId="0" applyFont="1" applyAlignment="1">
      <alignment horizontal="center" vertical="center"/>
    </xf>
    <xf numFmtId="0" fontId="19" fillId="4" borderId="6" xfId="0" applyFont="1" applyFill="1" applyBorder="1" applyAlignment="1">
      <alignment horizontal="center" vertical="center" wrapText="1"/>
    </xf>
    <xf numFmtId="0" fontId="9" fillId="0" borderId="6" xfId="0" applyFont="1" applyBorder="1" applyAlignment="1">
      <alignment horizontal="left" vertical="center" wrapText="1"/>
    </xf>
    <xf numFmtId="0" fontId="20" fillId="5" borderId="6" xfId="0" applyFont="1" applyFill="1" applyBorder="1" applyAlignment="1">
      <alignment horizontal="left" vertical="center" wrapText="1"/>
    </xf>
    <xf numFmtId="0" fontId="9" fillId="0" borderId="6" xfId="0" applyFont="1" applyBorder="1" applyAlignment="1">
      <alignment horizontal="center" vertical="center" wrapText="1"/>
    </xf>
    <xf numFmtId="0" fontId="12" fillId="0" borderId="0" xfId="0" applyFont="1">
      <alignment vertical="center"/>
    </xf>
    <xf numFmtId="0" fontId="6" fillId="0" borderId="18" xfId="0" applyFont="1" applyBorder="1">
      <alignment vertical="center"/>
    </xf>
    <xf numFmtId="0" fontId="18" fillId="6" borderId="7" xfId="0" applyFont="1" applyFill="1" applyBorder="1" applyAlignment="1">
      <alignment horizontal="right" vertical="center" wrapText="1"/>
    </xf>
    <xf numFmtId="0" fontId="18" fillId="6" borderId="8" xfId="0" applyFont="1" applyFill="1" applyBorder="1" applyAlignment="1">
      <alignment vertical="center" wrapText="1"/>
    </xf>
    <xf numFmtId="0" fontId="18" fillId="6" borderId="10" xfId="0" applyFont="1" applyFill="1" applyBorder="1" applyAlignment="1">
      <alignment vertical="center" wrapText="1"/>
    </xf>
    <xf numFmtId="0" fontId="18" fillId="6" borderId="19" xfId="0" applyFont="1" applyFill="1" applyBorder="1" applyAlignment="1">
      <alignment vertical="center" wrapText="1"/>
    </xf>
    <xf numFmtId="9" fontId="18" fillId="6" borderId="9" xfId="1" applyFont="1" applyFill="1" applyBorder="1" applyAlignment="1">
      <alignment horizontal="left" vertical="center" wrapText="1"/>
    </xf>
    <xf numFmtId="0" fontId="30" fillId="4" borderId="6" xfId="0" applyFont="1" applyFill="1" applyBorder="1" applyAlignment="1">
      <alignment horizontal="center" vertical="center" wrapText="1"/>
    </xf>
    <xf numFmtId="9" fontId="18" fillId="6" borderId="8" xfId="1" applyFont="1" applyFill="1" applyBorder="1" applyAlignment="1">
      <alignment vertical="center" wrapText="1"/>
    </xf>
    <xf numFmtId="0" fontId="19" fillId="4" borderId="0" xfId="0" applyFont="1" applyFill="1" applyBorder="1" applyAlignment="1">
      <alignment horizontal="center" vertical="center" wrapText="1"/>
    </xf>
    <xf numFmtId="0" fontId="6" fillId="0" borderId="17" xfId="0" applyFont="1" applyBorder="1">
      <alignment vertical="center"/>
    </xf>
    <xf numFmtId="0" fontId="13" fillId="2"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31" fillId="4" borderId="0" xfId="0" applyFont="1" applyFill="1" applyBorder="1" applyAlignment="1">
      <alignment horizontal="center" vertical="center" wrapText="1"/>
    </xf>
    <xf numFmtId="0" fontId="32" fillId="0" borderId="0" xfId="0" applyFont="1" applyBorder="1" applyAlignment="1">
      <alignment vertical="center" wrapText="1"/>
    </xf>
    <xf numFmtId="0" fontId="22" fillId="4" borderId="19" xfId="0" applyFont="1" applyFill="1" applyBorder="1" applyAlignment="1">
      <alignment vertical="center" wrapText="1"/>
    </xf>
    <xf numFmtId="0" fontId="22" fillId="4" borderId="20" xfId="0" applyFont="1" applyFill="1" applyBorder="1" applyAlignment="1">
      <alignment vertical="center" wrapText="1"/>
    </xf>
    <xf numFmtId="0" fontId="19" fillId="4" borderId="7" xfId="0" applyFont="1" applyFill="1" applyBorder="1" applyAlignment="1">
      <alignment horizontal="center" vertical="center" wrapText="1"/>
    </xf>
    <xf numFmtId="0" fontId="6" fillId="0" borderId="16" xfId="0" applyFont="1" applyBorder="1">
      <alignment vertical="center"/>
    </xf>
    <xf numFmtId="0" fontId="18" fillId="6" borderId="0" xfId="0" applyFont="1" applyFill="1" applyBorder="1" applyAlignment="1">
      <alignment vertical="center" wrapText="1"/>
    </xf>
    <xf numFmtId="0" fontId="18" fillId="6" borderId="11" xfId="0" applyFont="1" applyFill="1" applyBorder="1" applyAlignment="1">
      <alignment vertical="center" wrapText="1"/>
    </xf>
    <xf numFmtId="9" fontId="22" fillId="6" borderId="13" xfId="1" applyFont="1" applyFill="1" applyBorder="1" applyAlignment="1">
      <alignment horizontal="left" vertical="center" wrapText="1"/>
    </xf>
    <xf numFmtId="9" fontId="18" fillId="6" borderId="8" xfId="1" applyFont="1" applyFill="1" applyBorder="1" applyAlignment="1">
      <alignment horizontal="left" vertical="center" wrapText="1"/>
    </xf>
    <xf numFmtId="0" fontId="18" fillId="6" borderId="6" xfId="0" applyFont="1" applyFill="1" applyBorder="1" applyAlignment="1">
      <alignment vertical="center" wrapText="1"/>
    </xf>
    <xf numFmtId="9" fontId="14" fillId="9" borderId="0" xfId="0" applyNumberFormat="1" applyFont="1" applyFill="1" applyBorder="1" applyAlignment="1">
      <alignment horizontal="center" vertical="center" wrapText="1"/>
    </xf>
    <xf numFmtId="0" fontId="14" fillId="9" borderId="0" xfId="0" applyFont="1" applyFill="1" applyBorder="1" applyAlignment="1">
      <alignment horizontal="center" vertical="center" wrapText="1"/>
    </xf>
    <xf numFmtId="1" fontId="6" fillId="9" borderId="0" xfId="0" applyNumberFormat="1" applyFont="1" applyFill="1" applyBorder="1" applyAlignment="1">
      <alignment horizontal="center" vertical="center"/>
    </xf>
    <xf numFmtId="2" fontId="14" fillId="9" borderId="0" xfId="0" applyNumberFormat="1" applyFont="1" applyFill="1" applyBorder="1" applyAlignment="1">
      <alignment horizontal="center" vertical="center" wrapText="1"/>
    </xf>
    <xf numFmtId="0" fontId="3" fillId="0" borderId="0" xfId="0" applyFont="1" applyBorder="1" applyAlignment="1">
      <alignment vertical="center" wrapText="1"/>
    </xf>
    <xf numFmtId="0" fontId="6" fillId="0" borderId="0" xfId="0" applyFont="1" applyBorder="1" applyAlignment="1">
      <alignment horizontal="center" vertical="center" wrapText="1"/>
    </xf>
    <xf numFmtId="0" fontId="6" fillId="0" borderId="11" xfId="0" applyFont="1" applyBorder="1" applyAlignment="1">
      <alignment vertical="center" wrapText="1"/>
    </xf>
    <xf numFmtId="0" fontId="3" fillId="0" borderId="16" xfId="0" applyFont="1" applyBorder="1" applyAlignment="1">
      <alignment vertical="center" wrapText="1"/>
    </xf>
    <xf numFmtId="0" fontId="3" fillId="0" borderId="16" xfId="0" applyFont="1" applyBorder="1">
      <alignment vertical="center"/>
    </xf>
    <xf numFmtId="0" fontId="6" fillId="0" borderId="13" xfId="0" applyFont="1" applyBorder="1" applyAlignment="1">
      <alignment vertical="center" wrapText="1"/>
    </xf>
    <xf numFmtId="0" fontId="6" fillId="0" borderId="16" xfId="0" applyFont="1" applyBorder="1" applyAlignment="1">
      <alignment vertical="center" wrapText="1"/>
    </xf>
    <xf numFmtId="0" fontId="3" fillId="0" borderId="17" xfId="0" applyFont="1" applyBorder="1" applyAlignment="1">
      <alignment horizontal="center" vertical="center" wrapText="1"/>
    </xf>
    <xf numFmtId="0" fontId="3" fillId="0" borderId="10" xfId="0" applyFont="1" applyBorder="1" applyAlignment="1">
      <alignment horizontal="center" vertical="center"/>
    </xf>
    <xf numFmtId="0" fontId="3" fillId="0" borderId="17" xfId="0" applyFont="1" applyBorder="1" applyAlignment="1">
      <alignment horizontal="center" vertical="center"/>
    </xf>
    <xf numFmtId="0" fontId="3" fillId="0" borderId="12" xfId="0" applyFont="1" applyBorder="1" applyAlignment="1">
      <alignment horizontal="center" vertical="center"/>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49" fontId="3" fillId="0" borderId="3" xfId="0" applyNumberFormat="1" applyFont="1" applyBorder="1" applyAlignment="1">
      <alignment horizontal="center" vertical="center" wrapText="1"/>
    </xf>
    <xf numFmtId="0" fontId="37" fillId="11" borderId="1" xfId="0" applyFont="1" applyFill="1" applyBorder="1" applyAlignment="1">
      <alignment horizontal="center" vertical="center" wrapText="1"/>
    </xf>
    <xf numFmtId="0" fontId="38" fillId="11" borderId="4" xfId="0" applyFont="1" applyFill="1" applyBorder="1" applyAlignment="1">
      <alignment horizontal="center" vertical="center" wrapText="1"/>
    </xf>
    <xf numFmtId="0" fontId="17" fillId="5" borderId="5" xfId="0" applyFont="1" applyFill="1" applyBorder="1" applyAlignment="1">
      <alignment vertical="center" wrapText="1"/>
    </xf>
    <xf numFmtId="0" fontId="16" fillId="0" borderId="5" xfId="0" applyFont="1" applyBorder="1" applyAlignment="1">
      <alignment vertical="center" wrapText="1"/>
    </xf>
    <xf numFmtId="0" fontId="16" fillId="0" borderId="4" xfId="0" applyFont="1" applyBorder="1" applyAlignment="1">
      <alignment vertical="center" wrapText="1"/>
    </xf>
    <xf numFmtId="0" fontId="17" fillId="5" borderId="4" xfId="0" applyFont="1" applyFill="1" applyBorder="1" applyAlignment="1">
      <alignment vertical="center" wrapText="1"/>
    </xf>
    <xf numFmtId="0" fontId="12" fillId="0" borderId="0" xfId="0" applyFont="1" applyAlignment="1">
      <alignment vertical="center" wrapText="1"/>
    </xf>
    <xf numFmtId="0" fontId="24" fillId="12" borderId="29" xfId="0" applyFont="1" applyFill="1" applyBorder="1" applyAlignment="1">
      <alignment vertical="center" wrapText="1"/>
    </xf>
    <xf numFmtId="0" fontId="16" fillId="0" borderId="1" xfId="0" applyFont="1" applyBorder="1" applyAlignment="1">
      <alignment vertical="center" wrapText="1"/>
    </xf>
    <xf numFmtId="0" fontId="16" fillId="0" borderId="5" xfId="0" applyFont="1" applyBorder="1" applyAlignment="1">
      <alignment horizontal="justify" vertical="center" wrapText="1"/>
    </xf>
    <xf numFmtId="0" fontId="9" fillId="0" borderId="7" xfId="0" applyFont="1" applyBorder="1" applyAlignment="1" applyProtection="1">
      <alignment horizontal="center" vertical="center" wrapText="1"/>
    </xf>
    <xf numFmtId="0" fontId="6" fillId="0" borderId="0" xfId="0" applyFont="1" applyProtection="1">
      <alignment vertical="center"/>
    </xf>
    <xf numFmtId="0" fontId="9" fillId="0" borderId="6" xfId="0" applyFont="1" applyBorder="1" applyAlignment="1" applyProtection="1">
      <alignment horizontal="center" vertical="center" wrapText="1"/>
    </xf>
    <xf numFmtId="0" fontId="20" fillId="5" borderId="6" xfId="0" applyFont="1" applyFill="1" applyBorder="1" applyAlignment="1" applyProtection="1">
      <alignment horizontal="center" vertical="center" wrapText="1"/>
    </xf>
    <xf numFmtId="0" fontId="6" fillId="0" borderId="0" xfId="0" applyFont="1" applyBorder="1" applyProtection="1">
      <alignment vertical="center"/>
    </xf>
    <xf numFmtId="0" fontId="6" fillId="0" borderId="0" xfId="0" applyFont="1" applyProtection="1">
      <alignment vertical="center"/>
      <protection locked="0"/>
    </xf>
    <xf numFmtId="0" fontId="16" fillId="0" borderId="3" xfId="0" applyFont="1" applyBorder="1" applyAlignment="1">
      <alignment vertical="center" wrapText="1"/>
    </xf>
    <xf numFmtId="0" fontId="6" fillId="0" borderId="0" xfId="0" applyFont="1" applyBorder="1" applyAlignment="1">
      <alignment vertical="center" wrapText="1"/>
    </xf>
    <xf numFmtId="0" fontId="0" fillId="0" borderId="0" xfId="0" applyAlignment="1">
      <alignment vertical="center" wrapText="1"/>
    </xf>
    <xf numFmtId="0" fontId="3" fillId="0" borderId="0" xfId="0" applyFont="1" applyAlignment="1">
      <alignment horizontal="right" vertical="center"/>
    </xf>
    <xf numFmtId="1" fontId="3" fillId="0" borderId="0" xfId="0" applyNumberFormat="1" applyFont="1" applyAlignment="1">
      <alignment horizontal="left" vertical="center"/>
    </xf>
    <xf numFmtId="2" fontId="3" fillId="0" borderId="0" xfId="0" applyNumberFormat="1" applyFont="1" applyAlignment="1">
      <alignment horizontal="left" vertical="center"/>
    </xf>
    <xf numFmtId="0" fontId="16" fillId="0" borderId="5" xfId="0" applyFont="1" applyBorder="1" applyAlignment="1">
      <alignment horizontal="left" vertical="center" wrapText="1"/>
    </xf>
    <xf numFmtId="0" fontId="6" fillId="0" borderId="0" xfId="0" applyFont="1" applyAlignment="1">
      <alignment horizontal="left" vertical="center"/>
    </xf>
    <xf numFmtId="0" fontId="6" fillId="0" borderId="3" xfId="0" applyFont="1" applyBorder="1" applyAlignment="1">
      <alignment vertical="center"/>
    </xf>
    <xf numFmtId="0" fontId="24" fillId="12" borderId="1" xfId="0" applyFont="1" applyFill="1" applyBorder="1" applyAlignment="1">
      <alignment vertical="center"/>
    </xf>
    <xf numFmtId="0" fontId="24" fillId="12" borderId="1" xfId="0" applyFont="1" applyFill="1" applyBorder="1" applyAlignment="1">
      <alignment vertical="center" wrapText="1"/>
    </xf>
    <xf numFmtId="0" fontId="42" fillId="13" borderId="2" xfId="0" applyFont="1" applyFill="1" applyBorder="1" applyAlignment="1">
      <alignment horizontal="center" vertical="center"/>
    </xf>
    <xf numFmtId="0" fontId="6" fillId="0" borderId="28" xfId="0" applyFont="1" applyBorder="1">
      <alignment vertical="center"/>
    </xf>
    <xf numFmtId="0" fontId="6" fillId="0" borderId="3" xfId="0" applyFont="1" applyBorder="1">
      <alignment vertical="center"/>
    </xf>
    <xf numFmtId="0" fontId="42" fillId="13" borderId="2" xfId="0" applyFont="1" applyFill="1" applyBorder="1">
      <alignment vertical="center"/>
    </xf>
    <xf numFmtId="0" fontId="24" fillId="12" borderId="1" xfId="0" applyFont="1" applyFill="1" applyBorder="1" applyAlignment="1">
      <alignment horizontal="center" vertical="center" wrapText="1"/>
    </xf>
    <xf numFmtId="0" fontId="6" fillId="0" borderId="23" xfId="0" applyFont="1" applyBorder="1" applyAlignment="1">
      <alignment horizontal="left" vertical="center"/>
    </xf>
    <xf numFmtId="2" fontId="14" fillId="0" borderId="0" xfId="0" applyNumberFormat="1" applyFont="1" applyFill="1" applyBorder="1" applyAlignment="1">
      <alignment horizontal="left" vertical="center" wrapText="1"/>
    </xf>
    <xf numFmtId="0" fontId="6" fillId="0" borderId="0" xfId="0" applyFont="1" applyAlignment="1">
      <alignment horizontal="left" vertical="center"/>
    </xf>
    <xf numFmtId="0" fontId="6" fillId="0" borderId="2" xfId="0" applyFont="1" applyBorder="1">
      <alignment vertical="center"/>
    </xf>
    <xf numFmtId="0" fontId="6" fillId="0" borderId="28" xfId="0" applyFont="1" applyBorder="1" applyAlignment="1">
      <alignment horizontal="center" vertical="center"/>
    </xf>
    <xf numFmtId="0" fontId="6" fillId="0" borderId="3" xfId="0" applyFont="1" applyBorder="1" applyAlignment="1">
      <alignment horizontal="center" vertical="center"/>
    </xf>
    <xf numFmtId="0" fontId="12" fillId="0" borderId="28" xfId="0" applyFont="1" applyBorder="1" applyAlignment="1">
      <alignment horizontal="center" vertical="center" wrapText="1"/>
    </xf>
    <xf numFmtId="0" fontId="12" fillId="0" borderId="3" xfId="0" applyFont="1" applyBorder="1" applyAlignment="1">
      <alignment horizontal="center" vertical="center" wrapText="1"/>
    </xf>
    <xf numFmtId="0" fontId="17" fillId="0" borderId="3" xfId="0" applyFont="1" applyFill="1" applyBorder="1" applyAlignment="1">
      <alignment vertical="center" wrapText="1"/>
    </xf>
    <xf numFmtId="0" fontId="9" fillId="0" borderId="7" xfId="0" applyFont="1" applyBorder="1" applyAlignment="1" applyProtection="1">
      <alignment horizontal="center" vertical="center" wrapText="1"/>
      <protection locked="0"/>
    </xf>
    <xf numFmtId="0" fontId="9" fillId="5" borderId="7" xfId="0" applyFont="1" applyFill="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9" fillId="5" borderId="6" xfId="0" applyFont="1" applyFill="1" applyBorder="1" applyAlignment="1" applyProtection="1">
      <alignment horizontal="center" vertical="center" wrapText="1"/>
      <protection locked="0"/>
    </xf>
    <xf numFmtId="0" fontId="20" fillId="5" borderId="6" xfId="0" applyFont="1" applyFill="1" applyBorder="1" applyAlignment="1" applyProtection="1">
      <alignment horizontal="center" vertical="center" wrapText="1"/>
      <protection locked="0"/>
    </xf>
    <xf numFmtId="0" fontId="6" fillId="0" borderId="18" xfId="0" applyFont="1" applyBorder="1" applyProtection="1">
      <alignment vertical="center"/>
      <protection locked="0"/>
    </xf>
    <xf numFmtId="0" fontId="6" fillId="0" borderId="16" xfId="0" applyFont="1" applyBorder="1" applyProtection="1">
      <alignment vertical="center"/>
      <protection locked="0"/>
    </xf>
    <xf numFmtId="0" fontId="6" fillId="0" borderId="0" xfId="0" applyFont="1" applyBorder="1" applyAlignment="1" applyProtection="1">
      <alignment horizontal="center" vertical="center"/>
      <protection locked="0"/>
    </xf>
    <xf numFmtId="0" fontId="14" fillId="0" borderId="0" xfId="0" applyFont="1" applyBorder="1" applyAlignment="1" applyProtection="1">
      <alignment horizontal="center" vertical="center" wrapText="1"/>
      <protection locked="0"/>
    </xf>
    <xf numFmtId="0" fontId="9" fillId="0" borderId="7" xfId="0" applyFont="1" applyBorder="1" applyAlignment="1" applyProtection="1">
      <alignment horizontal="left" vertical="center" wrapText="1"/>
      <protection locked="0"/>
    </xf>
    <xf numFmtId="0" fontId="6" fillId="0" borderId="28" xfId="0" applyFont="1" applyBorder="1" applyAlignment="1">
      <alignment horizontal="left" vertical="center"/>
    </xf>
    <xf numFmtId="0" fontId="6" fillId="0" borderId="0" xfId="0" applyFont="1" applyBorder="1" applyAlignment="1" applyProtection="1">
      <alignment horizontal="left" vertical="center"/>
    </xf>
    <xf numFmtId="0" fontId="6" fillId="0" borderId="2" xfId="0" applyFont="1" applyBorder="1" applyAlignment="1">
      <alignment vertical="center" wrapText="1"/>
    </xf>
    <xf numFmtId="0" fontId="12" fillId="0" borderId="6" xfId="0" applyFont="1" applyBorder="1" applyAlignment="1">
      <alignment horizontal="center" vertical="center"/>
    </xf>
    <xf numFmtId="0" fontId="12" fillId="0" borderId="6" xfId="0" applyFont="1" applyFill="1" applyBorder="1">
      <alignment vertical="center"/>
    </xf>
    <xf numFmtId="0" fontId="12" fillId="0" borderId="6" xfId="0" applyFont="1" applyBorder="1">
      <alignment vertical="center"/>
    </xf>
    <xf numFmtId="0" fontId="47" fillId="13" borderId="6" xfId="0" applyFont="1" applyFill="1" applyBorder="1">
      <alignment vertical="center"/>
    </xf>
    <xf numFmtId="0" fontId="48" fillId="13" borderId="6" xfId="0" applyFont="1" applyFill="1" applyBorder="1">
      <alignment vertical="center"/>
    </xf>
    <xf numFmtId="0" fontId="44" fillId="0" borderId="6" xfId="0" applyFont="1" applyBorder="1" applyAlignment="1">
      <alignment vertical="center" wrapText="1"/>
    </xf>
    <xf numFmtId="0" fontId="44" fillId="13" borderId="6" xfId="0" applyFont="1" applyFill="1" applyBorder="1" applyAlignment="1">
      <alignment vertical="center" wrapText="1"/>
    </xf>
    <xf numFmtId="0" fontId="49" fillId="14" borderId="0" xfId="0" applyFont="1" applyFill="1" applyBorder="1" applyAlignment="1">
      <alignment horizontal="center" vertical="center"/>
    </xf>
    <xf numFmtId="0" fontId="6" fillId="10" borderId="0" xfId="0" applyFont="1" applyFill="1" applyBorder="1" applyAlignment="1">
      <alignment vertical="center" wrapText="1"/>
    </xf>
    <xf numFmtId="0" fontId="26" fillId="0" borderId="0" xfId="2" applyFont="1" applyBorder="1" applyAlignment="1">
      <alignment vertical="center"/>
    </xf>
    <xf numFmtId="0" fontId="50" fillId="0" borderId="23" xfId="2" applyFont="1" applyBorder="1" applyAlignment="1">
      <alignment vertical="center"/>
    </xf>
    <xf numFmtId="0" fontId="51" fillId="14" borderId="0" xfId="0" applyFont="1" applyFill="1">
      <alignment vertical="center"/>
    </xf>
    <xf numFmtId="0" fontId="12" fillId="14" borderId="0" xfId="0" applyFont="1" applyFill="1">
      <alignment vertical="center"/>
    </xf>
    <xf numFmtId="0" fontId="49" fillId="14" borderId="0" xfId="0" applyFont="1" applyFill="1" applyAlignment="1">
      <alignment horizontal="center" vertical="center"/>
    </xf>
    <xf numFmtId="0" fontId="49" fillId="14" borderId="0" xfId="0" applyFont="1" applyFill="1" applyBorder="1" applyAlignment="1">
      <alignment horizontal="center" vertical="center"/>
    </xf>
    <xf numFmtId="0" fontId="6" fillId="0" borderId="27" xfId="0" applyFont="1" applyBorder="1" applyAlignment="1">
      <alignment horizontal="left" vertical="center" wrapText="1"/>
    </xf>
    <xf numFmtId="0" fontId="6" fillId="0" borderId="21" xfId="0" applyFont="1" applyBorder="1" applyAlignment="1">
      <alignment horizontal="left" vertical="center" wrapText="1"/>
    </xf>
    <xf numFmtId="0" fontId="6" fillId="0" borderId="5" xfId="0" applyFont="1" applyBorder="1" applyAlignment="1">
      <alignment horizontal="left" vertical="center" wrapText="1"/>
    </xf>
    <xf numFmtId="0" fontId="3" fillId="10" borderId="0" xfId="0" applyFont="1" applyFill="1" applyBorder="1" applyAlignment="1">
      <alignment horizontal="left" vertical="center"/>
    </xf>
    <xf numFmtId="0" fontId="6" fillId="0" borderId="25" xfId="0" applyFont="1" applyBorder="1" applyAlignment="1">
      <alignment horizontal="left" vertical="center"/>
    </xf>
    <xf numFmtId="0" fontId="6" fillId="0" borderId="0" xfId="0" applyFont="1" applyBorder="1" applyAlignment="1">
      <alignment horizontal="left" vertical="center"/>
    </xf>
    <xf numFmtId="0" fontId="6" fillId="0" borderId="26" xfId="0" applyFont="1" applyBorder="1" applyAlignment="1">
      <alignment horizontal="left" vertical="center"/>
    </xf>
    <xf numFmtId="0" fontId="6" fillId="0" borderId="25" xfId="0" applyFont="1" applyBorder="1" applyAlignment="1">
      <alignment horizontal="left" vertical="center" wrapText="1"/>
    </xf>
    <xf numFmtId="0" fontId="6" fillId="0" borderId="0" xfId="0" applyFont="1" applyBorder="1" applyAlignment="1">
      <alignment horizontal="left" vertical="center" wrapText="1"/>
    </xf>
    <xf numFmtId="0" fontId="6" fillId="0" borderId="26" xfId="0" applyFont="1" applyBorder="1" applyAlignment="1">
      <alignment horizontal="left" vertical="center" wrapText="1"/>
    </xf>
    <xf numFmtId="0" fontId="6" fillId="0" borderId="22" xfId="0" applyFont="1" applyBorder="1" applyAlignment="1">
      <alignment horizontal="left" vertical="center"/>
    </xf>
    <xf numFmtId="0" fontId="6" fillId="0" borderId="23" xfId="0" applyFont="1" applyBorder="1" applyAlignment="1">
      <alignment horizontal="left" vertical="center"/>
    </xf>
    <xf numFmtId="0" fontId="6" fillId="0" borderId="24" xfId="0" applyFont="1" applyBorder="1" applyAlignment="1">
      <alignment horizontal="left" vertical="center"/>
    </xf>
    <xf numFmtId="0" fontId="3" fillId="10" borderId="0" xfId="0" applyFont="1" applyFill="1" applyAlignment="1" applyProtection="1">
      <alignment horizontal="left" vertical="center"/>
    </xf>
    <xf numFmtId="0" fontId="33" fillId="6" borderId="19" xfId="0" applyFont="1" applyFill="1" applyBorder="1" applyAlignment="1">
      <alignment horizontal="left"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5"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26" xfId="0" applyFont="1" applyBorder="1" applyAlignment="1" applyProtection="1">
      <alignment horizontal="left" vertical="center"/>
    </xf>
    <xf numFmtId="0" fontId="6" fillId="0" borderId="27" xfId="0" applyFont="1" applyBorder="1" applyAlignment="1" applyProtection="1">
      <alignment horizontal="left" vertical="center"/>
    </xf>
    <xf numFmtId="0" fontId="6" fillId="0" borderId="21" xfId="0" applyFont="1" applyBorder="1" applyAlignment="1" applyProtection="1">
      <alignment horizontal="left" vertical="center"/>
    </xf>
    <xf numFmtId="0" fontId="6" fillId="0" borderId="5" xfId="0" applyFont="1" applyBorder="1" applyAlignment="1" applyProtection="1">
      <alignment horizontal="left" vertical="center"/>
    </xf>
    <xf numFmtId="0" fontId="50" fillId="0" borderId="23" xfId="2" applyFont="1" applyBorder="1" applyAlignment="1">
      <alignment horizontal="left" vertical="center"/>
    </xf>
    <xf numFmtId="0" fontId="18" fillId="6" borderId="0" xfId="0" applyFont="1" applyFill="1" applyBorder="1" applyAlignment="1">
      <alignment horizontal="center" vertical="center" wrapText="1"/>
    </xf>
    <xf numFmtId="0" fontId="40" fillId="6" borderId="12" xfId="0" applyFont="1" applyFill="1" applyBorder="1" applyAlignment="1">
      <alignment horizontal="center" vertical="center" wrapText="1"/>
    </xf>
    <xf numFmtId="0" fontId="40" fillId="6" borderId="20" xfId="0" applyFont="1" applyFill="1" applyBorder="1" applyAlignment="1">
      <alignment horizontal="center" vertical="center" wrapText="1"/>
    </xf>
    <xf numFmtId="0" fontId="40" fillId="6" borderId="13" xfId="0" applyFont="1" applyFill="1" applyBorder="1" applyAlignment="1">
      <alignment horizontal="center" vertical="center" wrapText="1"/>
    </xf>
    <xf numFmtId="0" fontId="27" fillId="0" borderId="20" xfId="0" applyFont="1" applyBorder="1" applyAlignment="1" applyProtection="1">
      <alignment horizontal="center" vertical="center"/>
    </xf>
    <xf numFmtId="0" fontId="22" fillId="4" borderId="14" xfId="0" applyFont="1" applyFill="1" applyBorder="1" applyAlignment="1">
      <alignment horizontal="left" vertical="center" wrapText="1"/>
    </xf>
    <xf numFmtId="0" fontId="22" fillId="4" borderId="15" xfId="0" applyFont="1" applyFill="1" applyBorder="1" applyAlignment="1">
      <alignment horizontal="left" vertical="center" wrapText="1"/>
    </xf>
    <xf numFmtId="0" fontId="21" fillId="4" borderId="7" xfId="0" applyFont="1" applyFill="1" applyBorder="1" applyAlignment="1">
      <alignment horizontal="right" vertical="center" wrapText="1"/>
    </xf>
    <xf numFmtId="0" fontId="22" fillId="4" borderId="11" xfId="0" applyFont="1" applyFill="1" applyBorder="1" applyAlignment="1">
      <alignment horizontal="left" vertical="center" wrapText="1"/>
    </xf>
    <xf numFmtId="0" fontId="22" fillId="4" borderId="13" xfId="0" applyFont="1" applyFill="1" applyBorder="1" applyAlignment="1">
      <alignment horizontal="left" vertical="center" wrapText="1"/>
    </xf>
    <xf numFmtId="0" fontId="40" fillId="6" borderId="7" xfId="0" applyFont="1" applyFill="1" applyBorder="1" applyAlignment="1">
      <alignment horizontal="center" vertical="center" wrapText="1"/>
    </xf>
    <xf numFmtId="0" fontId="40" fillId="6" borderId="9" xfId="0" applyFont="1" applyFill="1" applyBorder="1" applyAlignment="1">
      <alignment horizontal="center" vertical="center" wrapText="1"/>
    </xf>
    <xf numFmtId="0" fontId="40" fillId="6" borderId="8" xfId="0" applyFont="1" applyFill="1" applyBorder="1" applyAlignment="1">
      <alignment horizontal="center" vertical="center" wrapText="1"/>
    </xf>
    <xf numFmtId="0" fontId="22" fillId="4" borderId="10" xfId="0" applyFont="1" applyFill="1" applyBorder="1" applyAlignment="1">
      <alignment horizontal="left" vertical="center" wrapText="1"/>
    </xf>
    <xf numFmtId="0" fontId="22" fillId="4" borderId="12" xfId="0" applyFont="1" applyFill="1" applyBorder="1" applyAlignment="1">
      <alignment horizontal="left" vertical="center" wrapText="1"/>
    </xf>
    <xf numFmtId="0" fontId="21" fillId="4" borderId="19" xfId="0" applyFont="1" applyFill="1" applyBorder="1" applyAlignment="1">
      <alignment horizontal="center" vertical="center" wrapText="1"/>
    </xf>
    <xf numFmtId="0" fontId="21" fillId="4" borderId="20" xfId="0" applyFont="1" applyFill="1" applyBorder="1" applyAlignment="1">
      <alignment horizontal="center" vertical="center" wrapText="1"/>
    </xf>
    <xf numFmtId="0" fontId="21" fillId="4" borderId="10" xfId="0" applyFont="1" applyFill="1" applyBorder="1" applyAlignment="1">
      <alignment horizontal="right" vertical="center" wrapText="1"/>
    </xf>
    <xf numFmtId="0" fontId="21" fillId="4" borderId="17" xfId="0" applyFont="1" applyFill="1" applyBorder="1" applyAlignment="1">
      <alignment horizontal="right" vertical="center" wrapText="1"/>
    </xf>
    <xf numFmtId="0" fontId="22" fillId="4" borderId="16" xfId="0" applyFont="1" applyFill="1" applyBorder="1" applyAlignment="1">
      <alignment horizontal="left" vertical="center" wrapText="1"/>
    </xf>
    <xf numFmtId="0" fontId="9" fillId="0" borderId="14"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5" xfId="0" applyFont="1" applyBorder="1" applyAlignment="1">
      <alignment horizontal="center" vertical="center" wrapText="1"/>
    </xf>
    <xf numFmtId="0" fontId="22" fillId="4" borderId="18" xfId="0" applyFont="1" applyFill="1" applyBorder="1" applyAlignment="1">
      <alignment horizontal="left" vertical="center" wrapText="1"/>
    </xf>
    <xf numFmtId="0" fontId="21" fillId="6" borderId="12" xfId="0" applyFont="1" applyFill="1" applyBorder="1" applyAlignment="1">
      <alignment horizontal="right" vertical="center" wrapText="1"/>
    </xf>
    <xf numFmtId="0" fontId="21" fillId="6" borderId="20" xfId="0" applyFont="1" applyFill="1" applyBorder="1" applyAlignment="1">
      <alignment horizontal="right" vertical="center" wrapText="1"/>
    </xf>
    <xf numFmtId="0" fontId="20" fillId="5" borderId="6" xfId="0" applyFont="1" applyFill="1" applyBorder="1" applyAlignment="1">
      <alignment horizontal="center" vertical="center" wrapText="1"/>
    </xf>
    <xf numFmtId="0" fontId="9" fillId="0" borderId="6" xfId="0" applyFont="1" applyBorder="1" applyAlignment="1">
      <alignment horizontal="center" vertical="center" wrapText="1"/>
    </xf>
    <xf numFmtId="0" fontId="22" fillId="4" borderId="19" xfId="0" applyFont="1" applyFill="1" applyBorder="1" applyAlignment="1">
      <alignment horizontal="left" vertical="center" wrapText="1"/>
    </xf>
    <xf numFmtId="0" fontId="22" fillId="4" borderId="20" xfId="0" applyFont="1" applyFill="1" applyBorder="1" applyAlignment="1">
      <alignment horizontal="left" vertical="center" wrapText="1"/>
    </xf>
    <xf numFmtId="0" fontId="21" fillId="4" borderId="19" xfId="0" applyFont="1" applyFill="1" applyBorder="1" applyAlignment="1">
      <alignment horizontal="right" vertical="center" wrapText="1"/>
    </xf>
    <xf numFmtId="0" fontId="21" fillId="4" borderId="12" xfId="0" applyFont="1" applyFill="1" applyBorder="1" applyAlignment="1">
      <alignment horizontal="right" vertical="center" wrapText="1"/>
    </xf>
    <xf numFmtId="0" fontId="21" fillId="4" borderId="20" xfId="0" applyFont="1" applyFill="1" applyBorder="1" applyAlignment="1">
      <alignment horizontal="right" vertical="center" wrapText="1"/>
    </xf>
    <xf numFmtId="0" fontId="23" fillId="8" borderId="29" xfId="0" applyFont="1" applyFill="1" applyBorder="1" applyAlignment="1">
      <alignment horizontal="left" vertical="center" wrapText="1"/>
    </xf>
    <xf numFmtId="0" fontId="23" fillId="8" borderId="4" xfId="0" applyFont="1" applyFill="1" applyBorder="1" applyAlignment="1">
      <alignment horizontal="left" vertical="center" wrapText="1"/>
    </xf>
    <xf numFmtId="0" fontId="16" fillId="5" borderId="2" xfId="0" applyFont="1" applyFill="1" applyBorder="1" applyAlignment="1">
      <alignment vertical="center" wrapText="1"/>
    </xf>
    <xf numFmtId="0" fontId="16" fillId="5" borderId="28" xfId="0" applyFont="1" applyFill="1" applyBorder="1" applyAlignment="1">
      <alignment vertical="center" wrapText="1"/>
    </xf>
    <xf numFmtId="0" fontId="16" fillId="5" borderId="3" xfId="0" applyFont="1" applyFill="1" applyBorder="1" applyAlignment="1">
      <alignment vertical="center" wrapText="1"/>
    </xf>
    <xf numFmtId="0" fontId="6" fillId="10" borderId="0" xfId="0" applyFont="1" applyFill="1" applyAlignment="1">
      <alignment horizontal="left" vertical="center"/>
    </xf>
    <xf numFmtId="0" fontId="6" fillId="0" borderId="27" xfId="0" applyFont="1" applyBorder="1" applyAlignment="1">
      <alignment horizontal="left" vertical="center"/>
    </xf>
    <xf numFmtId="0" fontId="6" fillId="0" borderId="5" xfId="0" applyFont="1" applyBorder="1" applyAlignment="1">
      <alignment horizontal="left" vertical="center"/>
    </xf>
    <xf numFmtId="0" fontId="16" fillId="0" borderId="2" xfId="0" applyFont="1" applyBorder="1" applyAlignment="1">
      <alignment vertical="center" wrapText="1"/>
    </xf>
    <xf numFmtId="0" fontId="16" fillId="0" borderId="28" xfId="0" applyFont="1" applyBorder="1" applyAlignment="1">
      <alignment vertical="center" wrapText="1"/>
    </xf>
    <xf numFmtId="0" fontId="16" fillId="0" borderId="3" xfId="0" applyFont="1" applyBorder="1" applyAlignment="1">
      <alignment vertical="center" wrapText="1"/>
    </xf>
    <xf numFmtId="0" fontId="24" fillId="8" borderId="29" xfId="0" applyFont="1" applyFill="1" applyBorder="1" applyAlignment="1">
      <alignment horizontal="left" vertical="center" wrapText="1"/>
    </xf>
    <xf numFmtId="0" fontId="24" fillId="8" borderId="30" xfId="0" applyFont="1" applyFill="1" applyBorder="1" applyAlignment="1">
      <alignment horizontal="left" vertical="center" wrapText="1"/>
    </xf>
    <xf numFmtId="0" fontId="23" fillId="8" borderId="30" xfId="0" applyFont="1" applyFill="1" applyBorder="1" applyAlignment="1">
      <alignment horizontal="left" vertical="center" wrapText="1"/>
    </xf>
    <xf numFmtId="0" fontId="39" fillId="0" borderId="2" xfId="0" applyFont="1" applyBorder="1" applyAlignment="1">
      <alignment horizontal="center" vertical="center" wrapText="1"/>
    </xf>
    <xf numFmtId="0" fontId="39" fillId="0" borderId="3"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28" xfId="0" applyFont="1" applyBorder="1" applyAlignment="1">
      <alignment horizontal="center" vertical="center" wrapText="1"/>
    </xf>
    <xf numFmtId="0" fontId="16" fillId="0" borderId="3" xfId="0" applyFont="1" applyBorder="1" applyAlignment="1">
      <alignment horizontal="center" vertical="center" wrapText="1"/>
    </xf>
    <xf numFmtId="0" fontId="3" fillId="0" borderId="0" xfId="0" applyFont="1" applyAlignment="1">
      <alignment horizontal="left" vertical="center"/>
    </xf>
    <xf numFmtId="0" fontId="6" fillId="0" borderId="0" xfId="0" applyFont="1" applyAlignment="1">
      <alignment horizontal="left" vertical="center" wrapText="1"/>
    </xf>
    <xf numFmtId="0" fontId="8" fillId="0" borderId="0" xfId="0" applyFont="1" applyAlignment="1">
      <alignment horizontal="left" vertical="center"/>
    </xf>
    <xf numFmtId="0" fontId="26" fillId="0" borderId="0" xfId="2" applyFont="1" applyAlignment="1">
      <alignment horizontal="left" vertical="center"/>
    </xf>
    <xf numFmtId="0" fontId="5" fillId="3" borderId="17" xfId="0" applyFont="1" applyFill="1" applyBorder="1" applyAlignment="1">
      <alignment horizontal="left" vertical="center" wrapText="1"/>
    </xf>
    <xf numFmtId="0" fontId="5" fillId="3" borderId="0" xfId="0" applyFont="1" applyFill="1" applyBorder="1" applyAlignment="1">
      <alignment horizontal="left" vertical="center" wrapText="1"/>
    </xf>
    <xf numFmtId="0" fontId="11" fillId="0" borderId="0" xfId="0" applyFont="1" applyAlignment="1">
      <alignment horizontal="left" vertical="center" wrapText="1"/>
    </xf>
    <xf numFmtId="0" fontId="13" fillId="2" borderId="2" xfId="0" applyFont="1" applyFill="1" applyBorder="1" applyAlignment="1">
      <alignment horizontal="center" vertical="center" wrapText="1"/>
    </xf>
    <xf numFmtId="0" fontId="13" fillId="2" borderId="3"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3" fillId="7" borderId="3" xfId="0" applyFont="1" applyFill="1" applyBorder="1" applyAlignment="1">
      <alignment horizontal="center" vertical="center" wrapText="1"/>
    </xf>
  </cellXfs>
  <cellStyles count="3">
    <cellStyle name="Hyperlink" xfId="2" builtinId="8"/>
    <cellStyle name="Normal" xfId="0" builtinId="0"/>
    <cellStyle name="Percent" xfId="1" builtinId="5"/>
  </cellStyles>
  <dxfs count="8">
    <dxf>
      <fill>
        <patternFill>
          <bgColor theme="9" tint="0.59996337778862885"/>
        </patternFill>
      </fill>
    </dxf>
    <dxf>
      <fill>
        <patternFill>
          <bgColor theme="9" tint="0.79998168889431442"/>
        </patternFill>
      </fill>
    </dxf>
    <dxf>
      <fill>
        <patternFill>
          <bgColor theme="7" tint="0.39994506668294322"/>
        </patternFill>
      </fill>
    </dxf>
    <dxf>
      <fill>
        <patternFill>
          <bgColor theme="9" tint="0.39994506668294322"/>
        </patternFill>
      </fill>
    </dxf>
    <dxf>
      <fill>
        <patternFill>
          <bgColor theme="9" tint="0.59996337778862885"/>
        </patternFill>
      </fill>
    </dxf>
    <dxf>
      <fill>
        <patternFill>
          <bgColor theme="7" tint="0.79998168889431442"/>
        </patternFill>
      </fill>
    </dxf>
    <dxf>
      <fill>
        <patternFill>
          <bgColor theme="9" tint="0.79998168889431442"/>
        </patternFill>
      </fill>
    </dxf>
    <dxf>
      <fill>
        <patternFill>
          <bgColor theme="9" tint="0.39994506668294322"/>
        </patternFill>
      </fill>
    </dxf>
  </dxfs>
  <tableStyles count="0" defaultTableStyle="TableStyleMedium2" defaultPivotStyle="PivotStyleLight16"/>
  <colors>
    <mruColors>
      <color rgb="FF3333CC"/>
      <color rgb="FFFFF2CC"/>
      <color rgb="FFBDD6EE"/>
      <color rgb="FFBDEA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C$1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C$2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C$26"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fmlaLink="$C$30"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firstButton="1" fmlaLink="$C$34"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fmlaLink="$C$40"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firstButton="1" fmlaLink="$C$44"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Radio" firstButton="1" fmlaLink="$C$49"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fmlaLink="$C$54"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firstButton="1" fmlaLink="$C$57" lockText="1" noThreeD="1"/>
</file>

<file path=xl/ctrlProps/ctrlProp44.xml><?xml version="1.0" encoding="utf-8"?>
<formControlPr xmlns="http://schemas.microsoft.com/office/spreadsheetml/2009/9/main" objectType="Radio" checked="Checked"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firstButton="1" fmlaLink="$C$63" lockText="1" noThreeD="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C$66"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firstButton="1" fmlaLink="$C$16"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BX8"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firstButton="1" fmlaLink="$BX$13"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BX$18"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firstButton="1" fmlaLink="$BX$23"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Radio" firstButton="1" fmlaLink="$BX$27"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firstButton="1" fmlaLink="$BX$46"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firstButton="1" fmlaLink="$BX$51"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BX$54"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firstButton="1" fmlaLink="$BX$59"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Radio" firstButton="1" fmlaLink="$BX$62"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BY$8"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firstButton="1" fmlaLink="$BY$13"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firstButton="1" fmlaLink="$BY$18"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firstButton="1" fmlaLink="$BY$23"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Radio" firstButton="1" fmlaLink="$BY$27"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firstButton="1" fmlaLink="$BY$31"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firstButton="1" fmlaLink="$BY$37"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Radio" firstButton="1" fmlaLink="$BY$41"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Radio" firstButton="1" fmlaLink="$BY$46"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Radio" firstButton="1" fmlaLink="$BY$51"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Radio" firstButton="1" fmlaLink="$BY$54"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Radio" firstButton="1" fmlaLink="$BY$59" lockText="1" noThreeD="1"/>
</file>

<file path=xl/ctrlProps/ctrlProp151.xml><?xml version="1.0" encoding="utf-8"?>
<formControlPr xmlns="http://schemas.microsoft.com/office/spreadsheetml/2009/9/main" objectType="Radio" lockText="1"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firstButton="1" fmlaLink="$BY$62"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Radio" firstButton="1" fmlaLink="CA8"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Radio" lockText="1"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Radio" firstButton="1" fmlaLink="CA13"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Radio" firstButton="1" fmlaLink="CA18"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Radio" firstButton="1" fmlaLink="CA23"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Radio" lockText="1"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Radio" firstButton="1" fmlaLink="CA27"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Radio" firstButton="1" fmlaLink="CA31"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CA37"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Radio" firstButton="1" fmlaLink="CA41"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Radio"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firstButton="1" fmlaLink="CA46"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firstButton="1" fmlaLink="CA5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firstButton="1" fmlaLink="CA54"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Radio"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firstButton="1" fmlaLink="CA59"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Radio" firstButton="1" fmlaLink="CA62"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firstButton="1" fmlaLink="CC8"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Radio" firstButton="1" fmlaLink="CC13"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firstButton="1" fmlaLink="CC18"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Radio"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Radio" firstButton="1" fmlaLink="CC23" lockText="1" noThreeD="1"/>
</file>

<file path=xl/ctrlProps/ctrlProp230.xml><?xml version="1.0" encoding="utf-8"?>
<formControlPr xmlns="http://schemas.microsoft.com/office/spreadsheetml/2009/9/main" objectType="Radio"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Radio" firstButton="1" fmlaLink="CC27"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Radio" firstButton="1" fmlaLink="CC31"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Radio" lockText="1"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Radio" firstButton="1" fmlaLink="CC37"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Radio" lockText="1"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Radio" firstButton="1" fmlaLink="CC41"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Radio" lockText="1"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Radio" firstButton="1" fmlaLink="CC46"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Radio" firstButton="1" fmlaLink="CC51" lockText="1" noThreeD="1"/>
</file>

<file path=xl/ctrlProps/ctrlProp257.xml><?xml version="1.0" encoding="utf-8"?>
<formControlPr xmlns="http://schemas.microsoft.com/office/spreadsheetml/2009/9/main" objectType="Radio" lockText="1"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Radio" firstButton="1" fmlaLink="CC54" lockText="1" noThreeD="1"/>
</file>

<file path=xl/ctrlProps/ctrlProp260.xml><?xml version="1.0" encoding="utf-8"?>
<formControlPr xmlns="http://schemas.microsoft.com/office/spreadsheetml/2009/9/main" objectType="Radio" lockText="1" noThreeD="1"/>
</file>

<file path=xl/ctrlProps/ctrlProp261.xml><?xml version="1.0" encoding="utf-8"?>
<formControlPr xmlns="http://schemas.microsoft.com/office/spreadsheetml/2009/9/main" objectType="Radio" lockText="1" noThreeD="1"/>
</file>

<file path=xl/ctrlProps/ctrlProp262.xml><?xml version="1.0" encoding="utf-8"?>
<formControlPr xmlns="http://schemas.microsoft.com/office/spreadsheetml/2009/9/main" objectType="Radio" lockText="1"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Radio" firstButton="1" fmlaLink="CC59"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Radio" firstButton="1" fmlaLink="CC62" lockText="1" noThreeD="1"/>
</file>

<file path=xl/ctrlProps/ctrlProp268.xml><?xml version="1.0" encoding="utf-8"?>
<formControlPr xmlns="http://schemas.microsoft.com/office/spreadsheetml/2009/9/main" objectType="Radio" lockText="1" noThreeD="1"/>
</file>

<file path=xl/ctrlProps/ctrlProp269.xml><?xml version="1.0" encoding="utf-8"?>
<formControlPr xmlns="http://schemas.microsoft.com/office/spreadsheetml/2009/9/main" objectType="Radio" lockText="1"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Radio" firstButton="1" fmlaLink="CE8" lockText="1" noThreeD="1"/>
</file>

<file path=xl/ctrlProps/ctrlProp272.xml><?xml version="1.0" encoding="utf-8"?>
<formControlPr xmlns="http://schemas.microsoft.com/office/spreadsheetml/2009/9/main" objectType="Radio" lockText="1" noThreeD="1"/>
</file>

<file path=xl/ctrlProps/ctrlProp273.xml><?xml version="1.0" encoding="utf-8"?>
<formControlPr xmlns="http://schemas.microsoft.com/office/spreadsheetml/2009/9/main" objectType="Radio" lockText="1" noThreeD="1"/>
</file>

<file path=xl/ctrlProps/ctrlProp274.xml><?xml version="1.0" encoding="utf-8"?>
<formControlPr xmlns="http://schemas.microsoft.com/office/spreadsheetml/2009/9/main" objectType="Radio" lockText="1"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Radio" firstButton="1" fmlaLink="CE13" lockText="1" noThreeD="1"/>
</file>

<file path=xl/ctrlProps/ctrlProp277.xml><?xml version="1.0" encoding="utf-8"?>
<formControlPr xmlns="http://schemas.microsoft.com/office/spreadsheetml/2009/9/main" objectType="Radio" lockText="1" noThreeD="1"/>
</file>

<file path=xl/ctrlProps/ctrlProp278.xml><?xml version="1.0" encoding="utf-8"?>
<formControlPr xmlns="http://schemas.microsoft.com/office/spreadsheetml/2009/9/main" objectType="Radio"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Radio" firstButton="1" fmlaLink="CE18" lockText="1" noThreeD="1"/>
</file>

<file path=xl/ctrlProps/ctrlProp282.xml><?xml version="1.0" encoding="utf-8"?>
<formControlPr xmlns="http://schemas.microsoft.com/office/spreadsheetml/2009/9/main" objectType="Radio" lockText="1" noThreeD="1"/>
</file>

<file path=xl/ctrlProps/ctrlProp283.xml><?xml version="1.0" encoding="utf-8"?>
<formControlPr xmlns="http://schemas.microsoft.com/office/spreadsheetml/2009/9/main" objectType="Radio" lockText="1" noThreeD="1"/>
</file>

<file path=xl/ctrlProps/ctrlProp284.xml><?xml version="1.0" encoding="utf-8"?>
<formControlPr xmlns="http://schemas.microsoft.com/office/spreadsheetml/2009/9/main" objectType="Radio"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CE23"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Radio" firstButton="1" fmlaLink="CE27"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CE31" lockText="1" noThreeD="1"/>
</file>

<file path=xl/ctrlProps/ctrlProp295.xml><?xml version="1.0" encoding="utf-8"?>
<formControlPr xmlns="http://schemas.microsoft.com/office/spreadsheetml/2009/9/main" objectType="Radio"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Radio" lockText="1" noThreeD="1"/>
</file>

<file path=xl/ctrlProps/ctrlProp298.xml><?xml version="1.0" encoding="utf-8"?>
<formControlPr xmlns="http://schemas.microsoft.com/office/spreadsheetml/2009/9/main" objectType="Radio" lockText="1"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Radio" firstButton="1" fmlaLink="CE37" lockText="1" noThreeD="1"/>
</file>

<file path=xl/ctrlProps/ctrlProp301.xml><?xml version="1.0" encoding="utf-8"?>
<formControlPr xmlns="http://schemas.microsoft.com/office/spreadsheetml/2009/9/main" objectType="Radio" lockText="1" noThreeD="1"/>
</file>

<file path=xl/ctrlProps/ctrlProp302.xml><?xml version="1.0" encoding="utf-8"?>
<formControlPr xmlns="http://schemas.microsoft.com/office/spreadsheetml/2009/9/main" objectType="Radio" lockText="1"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Radio" firstButton="1" fmlaLink="CE41" lockText="1" noThreeD="1"/>
</file>

<file path=xl/ctrlProps/ctrlProp305.xml><?xml version="1.0" encoding="utf-8"?>
<formControlPr xmlns="http://schemas.microsoft.com/office/spreadsheetml/2009/9/main" objectType="Radio"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Radio" firstButton="1" fmlaLink="CE46" lockText="1" noThreeD="1"/>
</file>

<file path=xl/ctrlProps/ctrlProp310.xml><?xml version="1.0" encoding="utf-8"?>
<formControlPr xmlns="http://schemas.microsoft.com/office/spreadsheetml/2009/9/main" objectType="Radio" lockText="1" noThreeD="1"/>
</file>

<file path=xl/ctrlProps/ctrlProp311.xml><?xml version="1.0" encoding="utf-8"?>
<formControlPr xmlns="http://schemas.microsoft.com/office/spreadsheetml/2009/9/main" objectType="Radio" lockText="1"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Radio" firstButton="1" fmlaLink="CE51" lockText="1" noThreeD="1"/>
</file>

<file path=xl/ctrlProps/ctrlProp314.xml><?xml version="1.0" encoding="utf-8"?>
<formControlPr xmlns="http://schemas.microsoft.com/office/spreadsheetml/2009/9/main" objectType="Radio" lockText="1"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Radio" firstButton="1" fmlaLink="CE54" lockText="1" noThreeD="1"/>
</file>

<file path=xl/ctrlProps/ctrlProp317.xml><?xml version="1.0" encoding="utf-8"?>
<formControlPr xmlns="http://schemas.microsoft.com/office/spreadsheetml/2009/9/main" objectType="Radio" lockText="1" noThreeD="1"/>
</file>

<file path=xl/ctrlProps/ctrlProp318.xml><?xml version="1.0" encoding="utf-8"?>
<formControlPr xmlns="http://schemas.microsoft.com/office/spreadsheetml/2009/9/main" objectType="Radio" lockText="1" noThreeD="1"/>
</file>

<file path=xl/ctrlProps/ctrlProp319.xml><?xml version="1.0" encoding="utf-8"?>
<formControlPr xmlns="http://schemas.microsoft.com/office/spreadsheetml/2009/9/main" objectType="Radio" lockText="1"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Radio" firstButton="1" fmlaLink="CE59"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Radio" firstButton="1" fmlaLink="CE62" lockText="1" noThreeD="1"/>
</file>

<file path=xl/ctrlProps/ctrlProp325.xml><?xml version="1.0" encoding="utf-8"?>
<formControlPr xmlns="http://schemas.microsoft.com/office/spreadsheetml/2009/9/main" objectType="Radio" lockText="1" noThreeD="1"/>
</file>

<file path=xl/ctrlProps/ctrlProp326.xml><?xml version="1.0" encoding="utf-8"?>
<formControlPr xmlns="http://schemas.microsoft.com/office/spreadsheetml/2009/9/main" objectType="Radio" lockText="1"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Radio" firstButton="1" fmlaLink="BX31" lockText="1" noThreeD="1"/>
</file>

<file path=xl/ctrlProps/ctrlProp330.xml><?xml version="1.0" encoding="utf-8"?>
<formControlPr xmlns="http://schemas.microsoft.com/office/spreadsheetml/2009/9/main" objectType="Radio" lockText="1" noThreeD="1"/>
</file>

<file path=xl/ctrlProps/ctrlProp331.xml><?xml version="1.0" encoding="utf-8"?>
<formControlPr xmlns="http://schemas.microsoft.com/office/spreadsheetml/2009/9/main" objectType="Radio" lockText="1" noThreeD="1"/>
</file>

<file path=xl/ctrlProps/ctrlProp332.xml><?xml version="1.0" encoding="utf-8"?>
<formControlPr xmlns="http://schemas.microsoft.com/office/spreadsheetml/2009/9/main" objectType="Radio" lockText="1" noThreeD="1"/>
</file>

<file path=xl/ctrlProps/ctrlProp333.xml><?xml version="1.0" encoding="utf-8"?>
<formControlPr xmlns="http://schemas.microsoft.com/office/spreadsheetml/2009/9/main" objectType="Radio" lockText="1"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Radio" firstButton="1" fmlaLink="BX37" lockText="1" noThreeD="1"/>
</file>

<file path=xl/ctrlProps/ctrlProp336.xml><?xml version="1.0" encoding="utf-8"?>
<formControlPr xmlns="http://schemas.microsoft.com/office/spreadsheetml/2009/9/main" objectType="Radio" lockText="1" noThreeD="1"/>
</file>

<file path=xl/ctrlProps/ctrlProp337.xml><?xml version="1.0" encoding="utf-8"?>
<formControlPr xmlns="http://schemas.microsoft.com/office/spreadsheetml/2009/9/main" objectType="Radio" lockText="1"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Radio" firstButton="1" fmlaLink="BX41"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Radio" lockText="1" noThreeD="1"/>
</file>

<file path=xl/ctrlProps/ctrlProp343.xml><?xml version="1.0" encoding="utf-8"?>
<formControlPr xmlns="http://schemas.microsoft.com/office/spreadsheetml/2009/9/main" objectType="Radio" lockText="1" noThreeD="1"/>
</file>

<file path=xl/ctrlProps/ctrlProp344.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1383030</xdr:colOff>
          <xdr:row>10</xdr:row>
          <xdr:rowOff>102870</xdr:rowOff>
        </xdr:from>
        <xdr:to>
          <xdr:col>4</xdr:col>
          <xdr:colOff>30480</xdr:colOff>
          <xdr:row>15</xdr:row>
          <xdr:rowOff>30480</xdr:rowOff>
        </xdr:to>
        <xdr:sp macro="" textlink="">
          <xdr:nvSpPr>
            <xdr:cNvPr id="11265" name="Group Box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11</xdr:row>
          <xdr:rowOff>0</xdr:rowOff>
        </xdr:from>
        <xdr:to>
          <xdr:col>1</xdr:col>
          <xdr:colOff>5840730</xdr:colOff>
          <xdr:row>12</xdr:row>
          <xdr:rowOff>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It is not clear who conducted the study.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12</xdr:row>
          <xdr:rowOff>0</xdr:rowOff>
        </xdr:from>
        <xdr:to>
          <xdr:col>1</xdr:col>
          <xdr:colOff>5840730</xdr:colOff>
          <xdr:row>13</xdr:row>
          <xdr:rowOff>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conducted by the program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13</xdr:row>
          <xdr:rowOff>0</xdr:rowOff>
        </xdr:from>
        <xdr:to>
          <xdr:col>1</xdr:col>
          <xdr:colOff>5840730</xdr:colOff>
          <xdr:row>14</xdr:row>
          <xdr:rowOff>0</xdr:rowOff>
        </xdr:to>
        <xdr:sp macro="" textlink="">
          <xdr:nvSpPr>
            <xdr:cNvPr id="11268" name="Option Button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conducted by an external evaluator hired by the program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14</xdr:row>
          <xdr:rowOff>0</xdr:rowOff>
        </xdr:from>
        <xdr:to>
          <xdr:col>1</xdr:col>
          <xdr:colOff>5840730</xdr:colOff>
          <xdr:row>15</xdr:row>
          <xdr:rowOff>0</xdr:rowOff>
        </xdr:to>
        <xdr:sp macro="" textlink="">
          <xdr:nvSpPr>
            <xdr:cNvPr id="11269" name="Option 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conducted by an external evaluator acting as an independent third party, i.e., not paid by the vendor.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15</xdr:row>
          <xdr:rowOff>144780</xdr:rowOff>
        </xdr:from>
        <xdr:to>
          <xdr:col>4</xdr:col>
          <xdr:colOff>144780</xdr:colOff>
          <xdr:row>20</xdr:row>
          <xdr:rowOff>102870</xdr:rowOff>
        </xdr:to>
        <xdr:sp macro="" textlink="">
          <xdr:nvSpPr>
            <xdr:cNvPr id="11270" name="Group Box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1421130</xdr:colOff>
          <xdr:row>20</xdr:row>
          <xdr:rowOff>76200</xdr:rowOff>
        </xdr:from>
        <xdr:to>
          <xdr:col>4</xdr:col>
          <xdr:colOff>114300</xdr:colOff>
          <xdr:row>25</xdr:row>
          <xdr:rowOff>30480</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20</xdr:row>
          <xdr:rowOff>217170</xdr:rowOff>
        </xdr:from>
        <xdr:to>
          <xdr:col>1</xdr:col>
          <xdr:colOff>5878830</xdr:colOff>
          <xdr:row>22</xdr:row>
          <xdr:rowOff>0</xdr:rowOff>
        </xdr:to>
        <xdr:sp macro="" textlink="">
          <xdr:nvSpPr>
            <xdr:cNvPr id="11272" name="Option Butto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Length of exposure is not clear from the study.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171450</xdr:rowOff>
        </xdr:from>
        <xdr:to>
          <xdr:col>1</xdr:col>
          <xdr:colOff>5878830</xdr:colOff>
          <xdr:row>23</xdr:row>
          <xdr:rowOff>0</xdr:rowOff>
        </xdr:to>
        <xdr:sp macro="" textlink="">
          <xdr:nvSpPr>
            <xdr:cNvPr id="11273" name="Option Button 9"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Length of exposure is too short to make a difference.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171450</xdr:rowOff>
        </xdr:from>
        <xdr:to>
          <xdr:col>1</xdr:col>
          <xdr:colOff>5878830</xdr:colOff>
          <xdr:row>24</xdr:row>
          <xdr:rowOff>0</xdr:rowOff>
        </xdr:to>
        <xdr:sp macro="" textlink="">
          <xdr:nvSpPr>
            <xdr:cNvPr id="11274" name="Option 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Length of exposure is too long to reflect likely effect in regular practice.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171450</xdr:rowOff>
        </xdr:from>
        <xdr:to>
          <xdr:col>1</xdr:col>
          <xdr:colOff>5878830</xdr:colOff>
          <xdr:row>25</xdr:row>
          <xdr:rowOff>0</xdr:rowOff>
        </xdr:to>
        <xdr:sp macro="" textlink="">
          <xdr:nvSpPr>
            <xdr:cNvPr id="11275" name="Option 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Length of exposure is about right.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25</xdr:row>
          <xdr:rowOff>114300</xdr:rowOff>
        </xdr:from>
        <xdr:to>
          <xdr:col>4</xdr:col>
          <xdr:colOff>49530</xdr:colOff>
          <xdr:row>28</xdr:row>
          <xdr:rowOff>179070</xdr:rowOff>
        </xdr:to>
        <xdr:sp macro="" textlink="">
          <xdr:nvSpPr>
            <xdr:cNvPr id="11276" name="Group Box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26</xdr:row>
          <xdr:rowOff>0</xdr:rowOff>
        </xdr:from>
        <xdr:to>
          <xdr:col>4</xdr:col>
          <xdr:colOff>19050</xdr:colOff>
          <xdr:row>26</xdr:row>
          <xdr:rowOff>163830</xdr:rowOff>
        </xdr:to>
        <xdr:sp macro="" textlink="">
          <xdr:nvSpPr>
            <xdr:cNvPr id="11277" name="Option 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components of the program/treatment are not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26</xdr:row>
          <xdr:rowOff>171450</xdr:rowOff>
        </xdr:from>
        <xdr:to>
          <xdr:col>2</xdr:col>
          <xdr:colOff>0</xdr:colOff>
          <xdr:row>27</xdr:row>
          <xdr:rowOff>163830</xdr:rowOff>
        </xdr:to>
        <xdr:sp macro="" textlink="">
          <xdr:nvSpPr>
            <xdr:cNvPr id="11278" name="Option 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components of the program/treatment are partially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27</xdr:row>
          <xdr:rowOff>171450</xdr:rowOff>
        </xdr:from>
        <xdr:to>
          <xdr:col>2</xdr:col>
          <xdr:colOff>0</xdr:colOff>
          <xdr:row>28</xdr:row>
          <xdr:rowOff>163830</xdr:rowOff>
        </xdr:to>
        <xdr:sp macro="" textlink="">
          <xdr:nvSpPr>
            <xdr:cNvPr id="11279" name="Option 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components of the program/treatment are completely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29</xdr:row>
          <xdr:rowOff>468630</xdr:rowOff>
        </xdr:from>
        <xdr:to>
          <xdr:col>4</xdr:col>
          <xdr:colOff>140970</xdr:colOff>
          <xdr:row>33</xdr:row>
          <xdr:rowOff>83820</xdr:rowOff>
        </xdr:to>
        <xdr:sp macro="" textlink="">
          <xdr:nvSpPr>
            <xdr:cNvPr id="11280" name="Group Box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30</xdr:row>
          <xdr:rowOff>11430</xdr:rowOff>
        </xdr:from>
        <xdr:to>
          <xdr:col>1</xdr:col>
          <xdr:colOff>5878830</xdr:colOff>
          <xdr:row>31</xdr:row>
          <xdr:rowOff>0</xdr:rowOff>
        </xdr:to>
        <xdr:sp macro="" textlink="">
          <xdr:nvSpPr>
            <xdr:cNvPr id="11281" name="Option 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implementation details of the program are not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31</xdr:row>
          <xdr:rowOff>11430</xdr:rowOff>
        </xdr:from>
        <xdr:to>
          <xdr:col>1</xdr:col>
          <xdr:colOff>5878830</xdr:colOff>
          <xdr:row>32</xdr:row>
          <xdr:rowOff>0</xdr:rowOff>
        </xdr:to>
        <xdr:sp macro="" textlink="">
          <xdr:nvSpPr>
            <xdr:cNvPr id="11282" name="Option 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implementation details of the program are partially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32</xdr:row>
          <xdr:rowOff>11430</xdr:rowOff>
        </xdr:from>
        <xdr:to>
          <xdr:col>1</xdr:col>
          <xdr:colOff>5878830</xdr:colOff>
          <xdr:row>33</xdr:row>
          <xdr:rowOff>0</xdr:rowOff>
        </xdr:to>
        <xdr:sp macro="" textlink="">
          <xdr:nvSpPr>
            <xdr:cNvPr id="11283" name="Option Button 19" hidden="1">
              <a:extLst>
                <a:ext uri="{63B3BB69-23CF-44E3-9099-C40C66FF867C}">
                  <a14:compatExt spid="_x0000_s11283"/>
                </a:ext>
                <a:ext uri="{FF2B5EF4-FFF2-40B4-BE49-F238E27FC236}">
                  <a16:creationId xmlns:a16="http://schemas.microsoft.com/office/drawing/2014/main" id="{00000000-0008-0000-03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implementation details of the program are completely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33</xdr:row>
          <xdr:rowOff>140970</xdr:rowOff>
        </xdr:from>
        <xdr:to>
          <xdr:col>4</xdr:col>
          <xdr:colOff>125730</xdr:colOff>
          <xdr:row>39</xdr:row>
          <xdr:rowOff>68580</xdr:rowOff>
        </xdr:to>
        <xdr:sp macro="" textlink="">
          <xdr:nvSpPr>
            <xdr:cNvPr id="11284" name="Group Box 20" hidden="1">
              <a:extLst>
                <a:ext uri="{63B3BB69-23CF-44E3-9099-C40C66FF867C}">
                  <a14:compatExt spid="_x0000_s11284"/>
                </a:ext>
                <a:ext uri="{FF2B5EF4-FFF2-40B4-BE49-F238E27FC236}">
                  <a16:creationId xmlns:a16="http://schemas.microsoft.com/office/drawing/2014/main" id="{00000000-0008-0000-0300-000014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34</xdr:row>
          <xdr:rowOff>19050</xdr:rowOff>
        </xdr:from>
        <xdr:to>
          <xdr:col>1</xdr:col>
          <xdr:colOff>5715000</xdr:colOff>
          <xdr:row>35</xdr:row>
          <xdr:rowOff>19050</xdr:rowOff>
        </xdr:to>
        <xdr:sp macro="" textlink="">
          <xdr:nvSpPr>
            <xdr:cNvPr id="11285" name="Option Button 21" hidden="1">
              <a:extLst>
                <a:ext uri="{63B3BB69-23CF-44E3-9099-C40C66FF867C}">
                  <a14:compatExt spid="_x0000_s11285"/>
                </a:ext>
                <a:ext uri="{FF2B5EF4-FFF2-40B4-BE49-F238E27FC236}">
                  <a16:creationId xmlns:a16="http://schemas.microsoft.com/office/drawing/2014/main" id="{00000000-0008-0000-03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It is not clear which outcomes are being measured, e.g., it is not clear whether the study is evaluating geometry skills or algebra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35</xdr:row>
          <xdr:rowOff>11430</xdr:rowOff>
        </xdr:from>
        <xdr:to>
          <xdr:col>1</xdr:col>
          <xdr:colOff>5829300</xdr:colOff>
          <xdr:row>36</xdr:row>
          <xdr:rowOff>0</xdr:rowOff>
        </xdr:to>
        <xdr:sp macro="" textlink="">
          <xdr:nvSpPr>
            <xdr:cNvPr id="11286" name="Option Button 22" hidden="1">
              <a:extLst>
                <a:ext uri="{63B3BB69-23CF-44E3-9099-C40C66FF867C}">
                  <a14:compatExt spid="_x0000_s11286"/>
                </a:ext>
                <a:ext uri="{FF2B5EF4-FFF2-40B4-BE49-F238E27FC236}">
                  <a16:creationId xmlns:a16="http://schemas.microsoft.com/office/drawing/2014/main" id="{00000000-0008-0000-0300-00001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outcomes measured are not at all aligned with the ultimate goal for implementing the intervention, e.g., the study investigates whether an after-school supplemental math program improves geometry skills, despite the fact that the program aims to improve algebra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35</xdr:row>
          <xdr:rowOff>521970</xdr:rowOff>
        </xdr:from>
        <xdr:to>
          <xdr:col>1</xdr:col>
          <xdr:colOff>5734050</xdr:colOff>
          <xdr:row>37</xdr:row>
          <xdr:rowOff>30480</xdr:rowOff>
        </xdr:to>
        <xdr:sp macro="" textlink="">
          <xdr:nvSpPr>
            <xdr:cNvPr id="11287" name="Option Button 23" hidden="1">
              <a:extLst>
                <a:ext uri="{63B3BB69-23CF-44E3-9099-C40C66FF867C}">
                  <a14:compatExt spid="_x0000_s11287"/>
                </a:ext>
                <a:ext uri="{FF2B5EF4-FFF2-40B4-BE49-F238E27FC236}">
                  <a16:creationId xmlns:a16="http://schemas.microsoft.com/office/drawing/2014/main" id="{00000000-0008-0000-03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outcomes measured only capture short-term behavioral changes but not longer-term educational outcomes, e.g., the study only documents whether students are attending an after-school math program, but does not measure whether their math skills are improving.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36</xdr:row>
          <xdr:rowOff>476250</xdr:rowOff>
        </xdr:from>
        <xdr:to>
          <xdr:col>1</xdr:col>
          <xdr:colOff>5715000</xdr:colOff>
          <xdr:row>37</xdr:row>
          <xdr:rowOff>361950</xdr:rowOff>
        </xdr:to>
        <xdr:sp macro="" textlink="">
          <xdr:nvSpPr>
            <xdr:cNvPr id="11288" name="Option Button 24" hidden="1">
              <a:extLst>
                <a:ext uri="{63B3BB69-23CF-44E3-9099-C40C66FF867C}">
                  <a14:compatExt spid="_x0000_s11288"/>
                </a:ext>
                <a:ext uri="{FF2B5EF4-FFF2-40B4-BE49-F238E27FC236}">
                  <a16:creationId xmlns:a16="http://schemas.microsoft.com/office/drawing/2014/main" id="{00000000-0008-0000-03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outcomes measured are aligned with some but not all of the stated goals for implementing the intervention, e.g., the study is measuring algebra skills when the primary goal of the program is to improve both algebra and geometry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11430</xdr:rowOff>
        </xdr:from>
        <xdr:to>
          <xdr:col>1</xdr:col>
          <xdr:colOff>5855970</xdr:colOff>
          <xdr:row>39</xdr:row>
          <xdr:rowOff>0</xdr:rowOff>
        </xdr:to>
        <xdr:sp macro="" textlink="">
          <xdr:nvSpPr>
            <xdr:cNvPr id="11289" name="Option Butto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outcomes measured are aligned with all of the stated goals for implementing the intervention, e.g., the study is measuring algebra skills when improving algebra skills is the primary goal of the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1344930</xdr:colOff>
          <xdr:row>39</xdr:row>
          <xdr:rowOff>342900</xdr:rowOff>
        </xdr:from>
        <xdr:to>
          <xdr:col>4</xdr:col>
          <xdr:colOff>106680</xdr:colOff>
          <xdr:row>43</xdr:row>
          <xdr:rowOff>76200</xdr:rowOff>
        </xdr:to>
        <xdr:sp macro="" textlink="">
          <xdr:nvSpPr>
            <xdr:cNvPr id="11290" name="Group Box 26" hidden="1">
              <a:extLst>
                <a:ext uri="{63B3BB69-23CF-44E3-9099-C40C66FF867C}">
                  <a14:compatExt spid="_x0000_s11290"/>
                </a:ext>
                <a:ext uri="{FF2B5EF4-FFF2-40B4-BE49-F238E27FC236}">
                  <a16:creationId xmlns:a16="http://schemas.microsoft.com/office/drawing/2014/main" id="{00000000-0008-0000-0300-00001A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40</xdr:row>
          <xdr:rowOff>7620</xdr:rowOff>
        </xdr:from>
        <xdr:to>
          <xdr:col>1</xdr:col>
          <xdr:colOff>5878830</xdr:colOff>
          <xdr:row>41</xdr:row>
          <xdr:rowOff>0</xdr:rowOff>
        </xdr:to>
        <xdr:sp macro="" textlink="">
          <xdr:nvSpPr>
            <xdr:cNvPr id="11291" name="Option Button 27"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characteristics of the study participants are not clear.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41</xdr:row>
          <xdr:rowOff>7620</xdr:rowOff>
        </xdr:from>
        <xdr:to>
          <xdr:col>1</xdr:col>
          <xdr:colOff>5878830</xdr:colOff>
          <xdr:row>42</xdr:row>
          <xdr:rowOff>0</xdr:rowOff>
        </xdr:to>
        <xdr:sp macro="" textlink="">
          <xdr:nvSpPr>
            <xdr:cNvPr id="11292" name="Option Butto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characteristics of the study participants are moderately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42</xdr:row>
          <xdr:rowOff>7620</xdr:rowOff>
        </xdr:from>
        <xdr:to>
          <xdr:col>1</xdr:col>
          <xdr:colOff>5878830</xdr:colOff>
          <xdr:row>43</xdr:row>
          <xdr:rowOff>0</xdr:rowOff>
        </xdr:to>
        <xdr:sp macro="" textlink="">
          <xdr:nvSpPr>
            <xdr:cNvPr id="11293" name="Option Button 29" hidden="1">
              <a:extLst>
                <a:ext uri="{63B3BB69-23CF-44E3-9099-C40C66FF867C}">
                  <a14:compatExt spid="_x0000_s11293"/>
                </a:ext>
                <a:ext uri="{FF2B5EF4-FFF2-40B4-BE49-F238E27FC236}">
                  <a16:creationId xmlns:a16="http://schemas.microsoft.com/office/drawing/2014/main" id="{00000000-0008-0000-03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characteristics of the study participants are very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43</xdr:row>
          <xdr:rowOff>266700</xdr:rowOff>
        </xdr:from>
        <xdr:to>
          <xdr:col>4</xdr:col>
          <xdr:colOff>228600</xdr:colOff>
          <xdr:row>48</xdr:row>
          <xdr:rowOff>106680</xdr:rowOff>
        </xdr:to>
        <xdr:sp macro="" textlink="">
          <xdr:nvSpPr>
            <xdr:cNvPr id="11294" name="Group Box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0</xdr:rowOff>
        </xdr:from>
        <xdr:to>
          <xdr:col>1</xdr:col>
          <xdr:colOff>5878830</xdr:colOff>
          <xdr:row>45</xdr:row>
          <xdr:rowOff>19050</xdr:rowOff>
        </xdr:to>
        <xdr:sp macro="" textlink="">
          <xdr:nvSpPr>
            <xdr:cNvPr id="11295" name="Option Butto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number of participants in the study is unclear.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0</xdr:rowOff>
        </xdr:from>
        <xdr:to>
          <xdr:col>1</xdr:col>
          <xdr:colOff>5878830</xdr:colOff>
          <xdr:row>46</xdr:row>
          <xdr:rowOff>19050</xdr:rowOff>
        </xdr:to>
        <xdr:sp macro="" textlink="">
          <xdr:nvSpPr>
            <xdr:cNvPr id="11296" name="Option Butto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does not have an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0</xdr:rowOff>
        </xdr:from>
        <xdr:to>
          <xdr:col>1</xdr:col>
          <xdr:colOff>5878830</xdr:colOff>
          <xdr:row>47</xdr:row>
          <xdr:rowOff>19050</xdr:rowOff>
        </xdr:to>
        <xdr:sp macro="" textlink="">
          <xdr:nvSpPr>
            <xdr:cNvPr id="11297" name="Option Butto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had a fairly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171450</xdr:rowOff>
        </xdr:from>
        <xdr:to>
          <xdr:col>1</xdr:col>
          <xdr:colOff>5878830</xdr:colOff>
          <xdr:row>48</xdr:row>
          <xdr:rowOff>0</xdr:rowOff>
        </xdr:to>
        <xdr:sp macro="" textlink="">
          <xdr:nvSpPr>
            <xdr:cNvPr id="11298" name="Option Butto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has a very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1383030</xdr:colOff>
          <xdr:row>48</xdr:row>
          <xdr:rowOff>114300</xdr:rowOff>
        </xdr:from>
        <xdr:to>
          <xdr:col>4</xdr:col>
          <xdr:colOff>335280</xdr:colOff>
          <xdr:row>52</xdr:row>
          <xdr:rowOff>68580</xdr:rowOff>
        </xdr:to>
        <xdr:sp macro="" textlink="">
          <xdr:nvSpPr>
            <xdr:cNvPr id="11299" name="Group Box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67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48</xdr:row>
          <xdr:rowOff>171450</xdr:rowOff>
        </xdr:from>
        <xdr:to>
          <xdr:col>1</xdr:col>
          <xdr:colOff>5798820</xdr:colOff>
          <xdr:row>50</xdr:row>
          <xdr:rowOff>19050</xdr:rowOff>
        </xdr:to>
        <xdr:sp macro="" textlink="">
          <xdr:nvSpPr>
            <xdr:cNvPr id="11300" name="Option Butto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It is not clear whether there is a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49</xdr:row>
          <xdr:rowOff>171450</xdr:rowOff>
        </xdr:from>
        <xdr:to>
          <xdr:col>1</xdr:col>
          <xdr:colOff>5798820</xdr:colOff>
          <xdr:row>50</xdr:row>
          <xdr:rowOff>179070</xdr:rowOff>
        </xdr:to>
        <xdr:sp macro="" textlink="">
          <xdr:nvSpPr>
            <xdr:cNvPr id="11301" name="Option Butto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There is no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50</xdr:row>
          <xdr:rowOff>171450</xdr:rowOff>
        </xdr:from>
        <xdr:to>
          <xdr:col>1</xdr:col>
          <xdr:colOff>5798820</xdr:colOff>
          <xdr:row>51</xdr:row>
          <xdr:rowOff>179070</xdr:rowOff>
        </xdr:to>
        <xdr:sp macro="" textlink="">
          <xdr:nvSpPr>
            <xdr:cNvPr id="11302" name="Option Butto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Study includes a comparison group which does not participate in the program being studied.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1428750</xdr:colOff>
          <xdr:row>53</xdr:row>
          <xdr:rowOff>87630</xdr:rowOff>
        </xdr:from>
        <xdr:to>
          <xdr:col>4</xdr:col>
          <xdr:colOff>163830</xdr:colOff>
          <xdr:row>56</xdr:row>
          <xdr:rowOff>83820</xdr:rowOff>
        </xdr:to>
        <xdr:sp macro="" textlink="">
          <xdr:nvSpPr>
            <xdr:cNvPr id="11303" name="Group Box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53</xdr:row>
          <xdr:rowOff>198120</xdr:rowOff>
        </xdr:from>
        <xdr:to>
          <xdr:col>1</xdr:col>
          <xdr:colOff>5878830</xdr:colOff>
          <xdr:row>55</xdr:row>
          <xdr:rowOff>19050</xdr:rowOff>
        </xdr:to>
        <xdr:sp macro="" textlink="">
          <xdr:nvSpPr>
            <xdr:cNvPr id="11304" name="Option Button 40" hidden="1">
              <a:extLst>
                <a:ext uri="{63B3BB69-23CF-44E3-9099-C40C66FF867C}">
                  <a14:compatExt spid="_x0000_s11304"/>
                </a:ext>
                <a:ext uri="{FF2B5EF4-FFF2-40B4-BE49-F238E27FC236}">
                  <a16:creationId xmlns:a16="http://schemas.microsoft.com/office/drawing/2014/main" id="{00000000-0008-0000-0300-00002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Unclear how study participants were selected to be in the program or the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54</xdr:row>
          <xdr:rowOff>198120</xdr:rowOff>
        </xdr:from>
        <xdr:to>
          <xdr:col>1</xdr:col>
          <xdr:colOff>5878830</xdr:colOff>
          <xdr:row>56</xdr:row>
          <xdr:rowOff>19050</xdr:rowOff>
        </xdr:to>
        <xdr:sp macro="" textlink="">
          <xdr:nvSpPr>
            <xdr:cNvPr id="11305" name="Option Button 41" hidden="1">
              <a:extLst>
                <a:ext uri="{63B3BB69-23CF-44E3-9099-C40C66FF867C}">
                  <a14:compatExt spid="_x0000_s11305"/>
                </a:ext>
                <a:ext uri="{FF2B5EF4-FFF2-40B4-BE49-F238E27FC236}">
                  <a16:creationId xmlns:a16="http://schemas.microsoft.com/office/drawing/2014/main" id="{00000000-0008-0000-03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selection process for program versus comparison group participants is clearly described.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1325880</xdr:colOff>
          <xdr:row>56</xdr:row>
          <xdr:rowOff>114300</xdr:rowOff>
        </xdr:from>
        <xdr:to>
          <xdr:col>4</xdr:col>
          <xdr:colOff>114300</xdr:colOff>
          <xdr:row>62</xdr:row>
          <xdr:rowOff>228600</xdr:rowOff>
        </xdr:to>
        <xdr:sp macro="" textlink="">
          <xdr:nvSpPr>
            <xdr:cNvPr id="11306" name="Group Box 42" hidden="1">
              <a:extLst>
                <a:ext uri="{63B3BB69-23CF-44E3-9099-C40C66FF867C}">
                  <a14:compatExt spid="_x0000_s11306"/>
                </a:ext>
                <a:ext uri="{FF2B5EF4-FFF2-40B4-BE49-F238E27FC236}">
                  <a16:creationId xmlns:a16="http://schemas.microsoft.com/office/drawing/2014/main" id="{00000000-0008-0000-0300-00002A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56</xdr:row>
          <xdr:rowOff>182880</xdr:rowOff>
        </xdr:from>
        <xdr:to>
          <xdr:col>1</xdr:col>
          <xdr:colOff>5798820</xdr:colOff>
          <xdr:row>58</xdr:row>
          <xdr:rowOff>49530</xdr:rowOff>
        </xdr:to>
        <xdr:sp macro="" textlink="">
          <xdr:nvSpPr>
            <xdr:cNvPr id="11307" name="Option Button 43" hidden="1">
              <a:extLst>
                <a:ext uri="{63B3BB69-23CF-44E3-9099-C40C66FF867C}">
                  <a14:compatExt spid="_x0000_s11307"/>
                </a:ext>
                <a:ext uri="{FF2B5EF4-FFF2-40B4-BE49-F238E27FC236}">
                  <a16:creationId xmlns:a16="http://schemas.microsoft.com/office/drawing/2014/main" id="{00000000-0008-0000-03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compares outcomes for students/teachers/schools who are receiving the program with outcomes for counterparts who are not participating in the program, but this comparison group is not similar on relevant characteristics, or it is unclear whether they are similar.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57</xdr:row>
          <xdr:rowOff>445770</xdr:rowOff>
        </xdr:from>
        <xdr:to>
          <xdr:col>1</xdr:col>
          <xdr:colOff>5695950</xdr:colOff>
          <xdr:row>59</xdr:row>
          <xdr:rowOff>19050</xdr:rowOff>
        </xdr:to>
        <xdr:sp macro="" textlink="">
          <xdr:nvSpPr>
            <xdr:cNvPr id="11308" name="Option Button 44" hidden="1">
              <a:extLst>
                <a:ext uri="{63B3BB69-23CF-44E3-9099-C40C66FF867C}">
                  <a14:compatExt spid="_x0000_s11308"/>
                </a:ext>
                <a:ext uri="{FF2B5EF4-FFF2-40B4-BE49-F238E27FC236}">
                  <a16:creationId xmlns:a16="http://schemas.microsoft.com/office/drawing/2014/main" id="{00000000-0008-0000-03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compares outcomes for students/teachers/schools who are receiving the program with outcomes for counterparts who have similar characteristics but are not participating in the program. It may do so either by identifying a comparison group that shares several known characteristics with the program participants, e.g., same grade, gender, SES (statistical matching), or by first matching program participants with non-participants who could have been just as likely to participate in the program, as predicted by known characteristics such as age and gender, and then comparing outcomes for the matched pairs (propensity score matching techniques).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59</xdr:row>
          <xdr:rowOff>26670</xdr:rowOff>
        </xdr:from>
        <xdr:to>
          <xdr:col>1</xdr:col>
          <xdr:colOff>5688330</xdr:colOff>
          <xdr:row>60</xdr:row>
          <xdr:rowOff>0</xdr:rowOff>
        </xdr:to>
        <xdr:sp macro="" textlink="">
          <xdr:nvSpPr>
            <xdr:cNvPr id="11309" name="Option Button 45" hidden="1">
              <a:extLst>
                <a:ext uri="{63B3BB69-23CF-44E3-9099-C40C66FF867C}">
                  <a14:compatExt spid="_x0000_s11309"/>
                </a:ext>
                <a:ext uri="{FF2B5EF4-FFF2-40B4-BE49-F238E27FC236}">
                  <a16:creationId xmlns:a16="http://schemas.microsoft.com/office/drawing/2014/main" id="{00000000-0008-0000-0300-00002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intervention is provided to students/teachers/schools who are above a cutoff point for eligibility. The study compares participants who are just above the eligibility cutoff, and therefore receive the intervention, with students/teachers/schools who are just below the eligibility cutoff, and therefore do not receive the intervention. This design should ensure the two groups are highly comparable.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60</xdr:row>
          <xdr:rowOff>7620</xdr:rowOff>
        </xdr:from>
        <xdr:to>
          <xdr:col>1</xdr:col>
          <xdr:colOff>5783580</xdr:colOff>
          <xdr:row>61</xdr:row>
          <xdr:rowOff>0</xdr:rowOff>
        </xdr:to>
        <xdr:sp macro="" textlink="">
          <xdr:nvSpPr>
            <xdr:cNvPr id="11310" name="Option Button 46" hidden="1">
              <a:extLst>
                <a:ext uri="{63B3BB69-23CF-44E3-9099-C40C66FF867C}">
                  <a14:compatExt spid="_x0000_s11310"/>
                </a:ext>
                <a:ext uri="{FF2B5EF4-FFF2-40B4-BE49-F238E27FC236}">
                  <a16:creationId xmlns:a16="http://schemas.microsoft.com/office/drawing/2014/main" id="{00000000-0008-0000-0300-00002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uses a randomized controlled trial (RCT) in which students/teachers/schools are chosen at random to either participate in the program or to serve in a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xdr:colOff>
          <xdr:row>61</xdr:row>
          <xdr:rowOff>0</xdr:rowOff>
        </xdr:from>
        <xdr:to>
          <xdr:col>1</xdr:col>
          <xdr:colOff>5574030</xdr:colOff>
          <xdr:row>61</xdr:row>
          <xdr:rowOff>392430</xdr:rowOff>
        </xdr:to>
        <xdr:sp macro="" textlink="">
          <xdr:nvSpPr>
            <xdr:cNvPr id="11311" name="Option Button 47" hidden="1">
              <a:extLst>
                <a:ext uri="{63B3BB69-23CF-44E3-9099-C40C66FF867C}">
                  <a14:compatExt spid="_x0000_s11311"/>
                </a:ext>
                <a:ext uri="{FF2B5EF4-FFF2-40B4-BE49-F238E27FC236}">
                  <a16:creationId xmlns:a16="http://schemas.microsoft.com/office/drawing/2014/main" id="{00000000-0008-0000-0300-00002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uses a randomized controlled trial (RCT) and also uses propensity score matching or statistical matching techniques.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62</xdr:row>
          <xdr:rowOff>430530</xdr:rowOff>
        </xdr:from>
        <xdr:to>
          <xdr:col>4</xdr:col>
          <xdr:colOff>209550</xdr:colOff>
          <xdr:row>65</xdr:row>
          <xdr:rowOff>64770</xdr:rowOff>
        </xdr:to>
        <xdr:sp macro="" textlink="">
          <xdr:nvSpPr>
            <xdr:cNvPr id="11312" name="Group Box 48" hidden="1">
              <a:extLst>
                <a:ext uri="{63B3BB69-23CF-44E3-9099-C40C66FF867C}">
                  <a14:compatExt spid="_x0000_s11312"/>
                </a:ext>
                <a:ext uri="{FF2B5EF4-FFF2-40B4-BE49-F238E27FC236}">
                  <a16:creationId xmlns:a16="http://schemas.microsoft.com/office/drawing/2014/main" id="{00000000-0008-0000-0300-000030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1428750</xdr:colOff>
          <xdr:row>65</xdr:row>
          <xdr:rowOff>95250</xdr:rowOff>
        </xdr:from>
        <xdr:to>
          <xdr:col>4</xdr:col>
          <xdr:colOff>30480</xdr:colOff>
          <xdr:row>72</xdr:row>
          <xdr:rowOff>121920</xdr:rowOff>
        </xdr:to>
        <xdr:sp macro="" textlink="">
          <xdr:nvSpPr>
            <xdr:cNvPr id="11315" name="Group Box 51" hidden="1">
              <a:extLst>
                <a:ext uri="{63B3BB69-23CF-44E3-9099-C40C66FF867C}">
                  <a14:compatExt spid="_x0000_s11315"/>
                </a:ext>
                <a:ext uri="{FF2B5EF4-FFF2-40B4-BE49-F238E27FC236}">
                  <a16:creationId xmlns:a16="http://schemas.microsoft.com/office/drawing/2014/main" id="{00000000-0008-0000-0300-00003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63</xdr:row>
          <xdr:rowOff>0</xdr:rowOff>
        </xdr:from>
        <xdr:to>
          <xdr:col>2</xdr:col>
          <xdr:colOff>0</xdr:colOff>
          <xdr:row>64</xdr:row>
          <xdr:rowOff>19050</xdr:rowOff>
        </xdr:to>
        <xdr:sp macro="" textlink="">
          <xdr:nvSpPr>
            <xdr:cNvPr id="11313" name="Option Button 49" hidden="1">
              <a:extLst>
                <a:ext uri="{63B3BB69-23CF-44E3-9099-C40C66FF867C}">
                  <a14:compatExt spid="_x0000_s11313"/>
                </a:ext>
                <a:ext uri="{FF2B5EF4-FFF2-40B4-BE49-F238E27FC236}">
                  <a16:creationId xmlns:a16="http://schemas.microsoft.com/office/drawing/2014/main" id="{00000000-0008-0000-0300-00003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does not address other possible explanations for 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64</xdr:row>
          <xdr:rowOff>0</xdr:rowOff>
        </xdr:from>
        <xdr:to>
          <xdr:col>2</xdr:col>
          <xdr:colOff>0</xdr:colOff>
          <xdr:row>65</xdr:row>
          <xdr:rowOff>49530</xdr:rowOff>
        </xdr:to>
        <xdr:sp macro="" textlink="">
          <xdr:nvSpPr>
            <xdr:cNvPr id="11314" name="Option Button 50" hidden="1">
              <a:extLst>
                <a:ext uri="{63B3BB69-23CF-44E3-9099-C40C66FF867C}">
                  <a14:compatExt spid="_x0000_s11314"/>
                </a:ext>
                <a:ext uri="{FF2B5EF4-FFF2-40B4-BE49-F238E27FC236}">
                  <a16:creationId xmlns:a16="http://schemas.microsoft.com/office/drawing/2014/main" id="{00000000-0008-0000-03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discusses other possible explanations for 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65</xdr:row>
          <xdr:rowOff>152400</xdr:rowOff>
        </xdr:from>
        <xdr:to>
          <xdr:col>1</xdr:col>
          <xdr:colOff>5878830</xdr:colOff>
          <xdr:row>67</xdr:row>
          <xdr:rowOff>30480</xdr:rowOff>
        </xdr:to>
        <xdr:sp macro="" textlink="">
          <xdr:nvSpPr>
            <xdr:cNvPr id="11317" name="Option Button 53" hidden="1">
              <a:extLst>
                <a:ext uri="{63B3BB69-23CF-44E3-9099-C40C66FF867C}">
                  <a14:compatExt spid="_x0000_s11317"/>
                </a:ext>
                <a:ext uri="{FF2B5EF4-FFF2-40B4-BE49-F238E27FC236}">
                  <a16:creationId xmlns:a16="http://schemas.microsoft.com/office/drawing/2014/main" id="{00000000-0008-0000-03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 The study only assesses student outcomes after they have participated in the program, i.e., it includes only post-test measures.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66</xdr:row>
          <xdr:rowOff>163830</xdr:rowOff>
        </xdr:from>
        <xdr:to>
          <xdr:col>1</xdr:col>
          <xdr:colOff>5875020</xdr:colOff>
          <xdr:row>68</xdr:row>
          <xdr:rowOff>45720</xdr:rowOff>
        </xdr:to>
        <xdr:sp macro="" textlink="">
          <xdr:nvSpPr>
            <xdr:cNvPr id="11318" name="Option Button 54" hidden="1">
              <a:extLst>
                <a:ext uri="{63B3BB69-23CF-44E3-9099-C40C66FF867C}">
                  <a14:compatExt spid="_x0000_s11318"/>
                </a:ext>
                <a:ext uri="{FF2B5EF4-FFF2-40B4-BE49-F238E27FC236}">
                  <a16:creationId xmlns:a16="http://schemas.microsoft.com/office/drawing/2014/main" id="{00000000-0008-0000-03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includes before and after measures, e.g., a pre-test/survey/observation before the intervention and a post-test/survey/observation after the intervention.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2</xdr:col>
          <xdr:colOff>0</xdr:colOff>
          <xdr:row>17</xdr:row>
          <xdr:rowOff>0</xdr:rowOff>
        </xdr:to>
        <xdr:sp macro="" textlink="">
          <xdr:nvSpPr>
            <xdr:cNvPr id="11319" name="Option Button 55" hidden="1">
              <a:extLst>
                <a:ext uri="{63B3BB69-23CF-44E3-9099-C40C66FF867C}">
                  <a14:compatExt spid="_x0000_s11319"/>
                </a:ext>
                <a:ext uri="{FF2B5EF4-FFF2-40B4-BE49-F238E27FC236}">
                  <a16:creationId xmlns:a16="http://schemas.microsoft.com/office/drawing/2014/main" id="{00000000-0008-0000-03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 It is not clear where the study was published.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2</xdr:col>
          <xdr:colOff>0</xdr:colOff>
          <xdr:row>18</xdr:row>
          <xdr:rowOff>0</xdr:rowOff>
        </xdr:to>
        <xdr:sp macro="" textlink="">
          <xdr:nvSpPr>
            <xdr:cNvPr id="11320" name="Option Button 56" hidden="1">
              <a:extLst>
                <a:ext uri="{63B3BB69-23CF-44E3-9099-C40C66FF867C}">
                  <a14:compatExt spid="_x0000_s11320"/>
                </a:ext>
                <a:ext uri="{FF2B5EF4-FFF2-40B4-BE49-F238E27FC236}">
                  <a16:creationId xmlns:a16="http://schemas.microsoft.com/office/drawing/2014/main" id="{00000000-0008-0000-0300-00003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published by the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5715000</xdr:colOff>
          <xdr:row>18</xdr:row>
          <xdr:rowOff>476250</xdr:rowOff>
        </xdr:to>
        <xdr:sp macro="" textlink="">
          <xdr:nvSpPr>
            <xdr:cNvPr id="11321" name="Option Button 57" hidden="1">
              <a:extLst>
                <a:ext uri="{63B3BB69-23CF-44E3-9099-C40C66FF867C}">
                  <a14:compatExt spid="_x0000_s11321"/>
                </a:ext>
                <a:ext uri="{FF2B5EF4-FFF2-40B4-BE49-F238E27FC236}">
                  <a16:creationId xmlns:a16="http://schemas.microsoft.com/office/drawing/2014/main" id="{00000000-0008-0000-0300-00003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published by a third party (i.e., other than the vendor) but not a peer-reviewed journal, e.g., a university, research organization, school district or other government agency. Keep in mind some technical reports are also later published in a peer-reviewed journal, so you may wish to check Google Scholar to see if there is a later published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1322" name="Option Button 58" hidden="1">
              <a:extLst>
                <a:ext uri="{63B3BB69-23CF-44E3-9099-C40C66FF867C}">
                  <a14:compatExt spid="_x0000_s11322"/>
                </a:ext>
                <a:ext uri="{FF2B5EF4-FFF2-40B4-BE49-F238E27FC236}">
                  <a16:creationId xmlns:a16="http://schemas.microsoft.com/office/drawing/2014/main" id="{00000000-0008-0000-0300-00003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was published in a peer-reviewed journal.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1455420</xdr:colOff>
          <xdr:row>67</xdr:row>
          <xdr:rowOff>323850</xdr:rowOff>
        </xdr:from>
        <xdr:to>
          <xdr:col>1</xdr:col>
          <xdr:colOff>5532120</xdr:colOff>
          <xdr:row>68</xdr:row>
          <xdr:rowOff>354330</xdr:rowOff>
        </xdr:to>
        <xdr:sp macro="" textlink="">
          <xdr:nvSpPr>
            <xdr:cNvPr id="11323" name="Option Button 59" hidden="1">
              <a:extLst>
                <a:ext uri="{63B3BB69-23CF-44E3-9099-C40C66FF867C}">
                  <a14:compatExt spid="_x0000_s11323"/>
                </a:ext>
                <a:ext uri="{FF2B5EF4-FFF2-40B4-BE49-F238E27FC236}">
                  <a16:creationId xmlns:a16="http://schemas.microsoft.com/office/drawing/2014/main" id="{00000000-0008-0000-0300-00003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The study assesses outcomes multiple times before/ during and after the intervention, which may include a second post-test several months after the intervention has ended.</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6</xdr:row>
          <xdr:rowOff>144780</xdr:rowOff>
        </xdr:from>
        <xdr:to>
          <xdr:col>2</xdr:col>
          <xdr:colOff>971550</xdr:colOff>
          <xdr:row>12</xdr:row>
          <xdr:rowOff>68580</xdr:rowOff>
        </xdr:to>
        <xdr:sp macro="" textlink="">
          <xdr:nvSpPr>
            <xdr:cNvPr id="16390" name="Group Box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8</xdr:row>
          <xdr:rowOff>0</xdr:rowOff>
        </xdr:from>
        <xdr:to>
          <xdr:col>2</xdr:col>
          <xdr:colOff>906780</xdr:colOff>
          <xdr:row>9</xdr:row>
          <xdr:rowOff>0</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9</xdr:row>
          <xdr:rowOff>0</xdr:rowOff>
        </xdr:from>
        <xdr:to>
          <xdr:col>2</xdr:col>
          <xdr:colOff>906780</xdr:colOff>
          <xdr:row>10</xdr:row>
          <xdr:rowOff>0</xdr:rowOff>
        </xdr:to>
        <xdr:sp macro="" textlink="">
          <xdr:nvSpPr>
            <xdr:cNvPr id="16392" name="Option Button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10</xdr:row>
          <xdr:rowOff>0</xdr:rowOff>
        </xdr:from>
        <xdr:to>
          <xdr:col>2</xdr:col>
          <xdr:colOff>906780</xdr:colOff>
          <xdr:row>11</xdr:row>
          <xdr:rowOff>0</xdr:rowOff>
        </xdr:to>
        <xdr:sp macro="" textlink="">
          <xdr:nvSpPr>
            <xdr:cNvPr id="16393" name="Option Button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11</xdr:row>
          <xdr:rowOff>236220</xdr:rowOff>
        </xdr:from>
        <xdr:to>
          <xdr:col>2</xdr:col>
          <xdr:colOff>906780</xdr:colOff>
          <xdr:row>11</xdr:row>
          <xdr:rowOff>430530</xdr:rowOff>
        </xdr:to>
        <xdr:sp macro="" textlink="">
          <xdr:nvSpPr>
            <xdr:cNvPr id="16394" name="Option Button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144780</xdr:rowOff>
        </xdr:from>
        <xdr:to>
          <xdr:col>3</xdr:col>
          <xdr:colOff>0</xdr:colOff>
          <xdr:row>17</xdr:row>
          <xdr:rowOff>68580</xdr:rowOff>
        </xdr:to>
        <xdr:sp macro="" textlink="">
          <xdr:nvSpPr>
            <xdr:cNvPr id="16399" name="Group Box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13</xdr:row>
          <xdr:rowOff>0</xdr:rowOff>
        </xdr:from>
        <xdr:to>
          <xdr:col>2</xdr:col>
          <xdr:colOff>906780</xdr:colOff>
          <xdr:row>14</xdr:row>
          <xdr:rowOff>0</xdr:rowOff>
        </xdr:to>
        <xdr:sp macro="" textlink="">
          <xdr:nvSpPr>
            <xdr:cNvPr id="16400" name="Option 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14</xdr:row>
          <xdr:rowOff>11430</xdr:rowOff>
        </xdr:from>
        <xdr:to>
          <xdr:col>2</xdr:col>
          <xdr:colOff>906780</xdr:colOff>
          <xdr:row>15</xdr:row>
          <xdr:rowOff>0</xdr:rowOff>
        </xdr:to>
        <xdr:sp macro="" textlink="">
          <xdr:nvSpPr>
            <xdr:cNvPr id="16401" name="Option 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133350</xdr:rowOff>
        </xdr:from>
        <xdr:to>
          <xdr:col>2</xdr:col>
          <xdr:colOff>963930</xdr:colOff>
          <xdr:row>22</xdr:row>
          <xdr:rowOff>144780</xdr:rowOff>
        </xdr:to>
        <xdr:sp macro="" textlink="">
          <xdr:nvSpPr>
            <xdr:cNvPr id="16406" name="Group Box 22" hidden="1">
              <a:extLst>
                <a:ext uri="{63B3BB69-23CF-44E3-9099-C40C66FF867C}">
                  <a14:compatExt spid="_x0000_s16406"/>
                </a:ext>
                <a:ext uri="{FF2B5EF4-FFF2-40B4-BE49-F238E27FC236}">
                  <a16:creationId xmlns:a16="http://schemas.microsoft.com/office/drawing/2014/main" id="{00000000-0008-0000-0400-00001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18</xdr:row>
          <xdr:rowOff>0</xdr:rowOff>
        </xdr:from>
        <xdr:to>
          <xdr:col>2</xdr:col>
          <xdr:colOff>906780</xdr:colOff>
          <xdr:row>19</xdr:row>
          <xdr:rowOff>0</xdr:rowOff>
        </xdr:to>
        <xdr:sp macro="" textlink="">
          <xdr:nvSpPr>
            <xdr:cNvPr id="16407" name="Option Button 23" hidden="1">
              <a:extLst>
                <a:ext uri="{63B3BB69-23CF-44E3-9099-C40C66FF867C}">
                  <a14:compatExt spid="_x0000_s16407"/>
                </a:ext>
                <a:ext uri="{FF2B5EF4-FFF2-40B4-BE49-F238E27FC236}">
                  <a16:creationId xmlns:a16="http://schemas.microsoft.com/office/drawing/2014/main" id="{00000000-0008-0000-04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19</xdr:row>
          <xdr:rowOff>11430</xdr:rowOff>
        </xdr:from>
        <xdr:to>
          <xdr:col>2</xdr:col>
          <xdr:colOff>906780</xdr:colOff>
          <xdr:row>20</xdr:row>
          <xdr:rowOff>0</xdr:rowOff>
        </xdr:to>
        <xdr:sp macro="" textlink="">
          <xdr:nvSpPr>
            <xdr:cNvPr id="16408" name="Option Button 24" hidden="1">
              <a:extLst>
                <a:ext uri="{63B3BB69-23CF-44E3-9099-C40C66FF867C}">
                  <a14:compatExt spid="_x0000_s16408"/>
                </a:ext>
                <a:ext uri="{FF2B5EF4-FFF2-40B4-BE49-F238E27FC236}">
                  <a16:creationId xmlns:a16="http://schemas.microsoft.com/office/drawing/2014/main" id="{00000000-0008-0000-04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20</xdr:row>
          <xdr:rowOff>0</xdr:rowOff>
        </xdr:from>
        <xdr:to>
          <xdr:col>2</xdr:col>
          <xdr:colOff>906780</xdr:colOff>
          <xdr:row>21</xdr:row>
          <xdr:rowOff>0</xdr:rowOff>
        </xdr:to>
        <xdr:sp macro="" textlink="">
          <xdr:nvSpPr>
            <xdr:cNvPr id="16409" name="Option Button 25" hidden="1">
              <a:extLst>
                <a:ext uri="{63B3BB69-23CF-44E3-9099-C40C66FF867C}">
                  <a14:compatExt spid="_x0000_s16409"/>
                </a:ext>
                <a:ext uri="{FF2B5EF4-FFF2-40B4-BE49-F238E27FC236}">
                  <a16:creationId xmlns:a16="http://schemas.microsoft.com/office/drawing/2014/main" id="{00000000-0008-0000-04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21</xdr:row>
          <xdr:rowOff>0</xdr:rowOff>
        </xdr:from>
        <xdr:to>
          <xdr:col>2</xdr:col>
          <xdr:colOff>906780</xdr:colOff>
          <xdr:row>22</xdr:row>
          <xdr:rowOff>0</xdr:rowOff>
        </xdr:to>
        <xdr:sp macro="" textlink="">
          <xdr:nvSpPr>
            <xdr:cNvPr id="16410" name="Option Button 26" hidden="1">
              <a:extLst>
                <a:ext uri="{63B3BB69-23CF-44E3-9099-C40C66FF867C}">
                  <a14:compatExt spid="_x0000_s16410"/>
                </a:ext>
                <a:ext uri="{FF2B5EF4-FFF2-40B4-BE49-F238E27FC236}">
                  <a16:creationId xmlns:a16="http://schemas.microsoft.com/office/drawing/2014/main" id="{00000000-0008-0000-04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22</xdr:row>
          <xdr:rowOff>140970</xdr:rowOff>
        </xdr:from>
        <xdr:to>
          <xdr:col>2</xdr:col>
          <xdr:colOff>952500</xdr:colOff>
          <xdr:row>26</xdr:row>
          <xdr:rowOff>144780</xdr:rowOff>
        </xdr:to>
        <xdr:sp macro="" textlink="">
          <xdr:nvSpPr>
            <xdr:cNvPr id="16411" name="Group Box 27" hidden="1">
              <a:extLst>
                <a:ext uri="{63B3BB69-23CF-44E3-9099-C40C66FF867C}">
                  <a14:compatExt spid="_x0000_s16411"/>
                </a:ext>
                <a:ext uri="{FF2B5EF4-FFF2-40B4-BE49-F238E27FC236}">
                  <a16:creationId xmlns:a16="http://schemas.microsoft.com/office/drawing/2014/main" id="{00000000-0008-0000-0400-00001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23</xdr:row>
          <xdr:rowOff>7620</xdr:rowOff>
        </xdr:from>
        <xdr:to>
          <xdr:col>2</xdr:col>
          <xdr:colOff>895350</xdr:colOff>
          <xdr:row>24</xdr:row>
          <xdr:rowOff>0</xdr:rowOff>
        </xdr:to>
        <xdr:sp macro="" textlink="">
          <xdr:nvSpPr>
            <xdr:cNvPr id="16422" name="Option Button 38" hidden="1">
              <a:extLst>
                <a:ext uri="{63B3BB69-23CF-44E3-9099-C40C66FF867C}">
                  <a14:compatExt spid="_x0000_s16422"/>
                </a:ext>
                <a:ext uri="{FF2B5EF4-FFF2-40B4-BE49-F238E27FC236}">
                  <a16:creationId xmlns:a16="http://schemas.microsoft.com/office/drawing/2014/main" id="{00000000-0008-0000-04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24</xdr:row>
          <xdr:rowOff>0</xdr:rowOff>
        </xdr:from>
        <xdr:to>
          <xdr:col>2</xdr:col>
          <xdr:colOff>906780</xdr:colOff>
          <xdr:row>25</xdr:row>
          <xdr:rowOff>0</xdr:rowOff>
        </xdr:to>
        <xdr:sp macro="" textlink="">
          <xdr:nvSpPr>
            <xdr:cNvPr id="16423" name="Option Button 39" hidden="1">
              <a:extLst>
                <a:ext uri="{63B3BB69-23CF-44E3-9099-C40C66FF867C}">
                  <a14:compatExt spid="_x0000_s16423"/>
                </a:ext>
                <a:ext uri="{FF2B5EF4-FFF2-40B4-BE49-F238E27FC236}">
                  <a16:creationId xmlns:a16="http://schemas.microsoft.com/office/drawing/2014/main" id="{00000000-0008-0000-04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25</xdr:row>
          <xdr:rowOff>0</xdr:rowOff>
        </xdr:from>
        <xdr:to>
          <xdr:col>2</xdr:col>
          <xdr:colOff>906780</xdr:colOff>
          <xdr:row>26</xdr:row>
          <xdr:rowOff>0</xdr:rowOff>
        </xdr:to>
        <xdr:sp macro="" textlink="">
          <xdr:nvSpPr>
            <xdr:cNvPr id="16424" name="Option Button 40" hidden="1">
              <a:extLst>
                <a:ext uri="{63B3BB69-23CF-44E3-9099-C40C66FF867C}">
                  <a14:compatExt spid="_x0000_s16424"/>
                </a:ext>
                <a:ext uri="{FF2B5EF4-FFF2-40B4-BE49-F238E27FC236}">
                  <a16:creationId xmlns:a16="http://schemas.microsoft.com/office/drawing/2014/main" id="{00000000-0008-0000-04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26</xdr:row>
          <xdr:rowOff>182880</xdr:rowOff>
        </xdr:from>
        <xdr:to>
          <xdr:col>2</xdr:col>
          <xdr:colOff>963930</xdr:colOff>
          <xdr:row>30</xdr:row>
          <xdr:rowOff>38100</xdr:rowOff>
        </xdr:to>
        <xdr:sp macro="" textlink="">
          <xdr:nvSpPr>
            <xdr:cNvPr id="16425" name="Group Box 41" hidden="1">
              <a:extLst>
                <a:ext uri="{63B3BB69-23CF-44E3-9099-C40C66FF867C}">
                  <a14:compatExt spid="_x0000_s16425"/>
                </a:ext>
                <a:ext uri="{FF2B5EF4-FFF2-40B4-BE49-F238E27FC236}">
                  <a16:creationId xmlns:a16="http://schemas.microsoft.com/office/drawing/2014/main" id="{00000000-0008-0000-0400-00002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27</xdr:row>
          <xdr:rowOff>0</xdr:rowOff>
        </xdr:from>
        <xdr:to>
          <xdr:col>2</xdr:col>
          <xdr:colOff>895350</xdr:colOff>
          <xdr:row>28</xdr:row>
          <xdr:rowOff>0</xdr:rowOff>
        </xdr:to>
        <xdr:sp macro="" textlink="">
          <xdr:nvSpPr>
            <xdr:cNvPr id="16426" name="Option Button 42" hidden="1">
              <a:extLst>
                <a:ext uri="{63B3BB69-23CF-44E3-9099-C40C66FF867C}">
                  <a14:compatExt spid="_x0000_s16426"/>
                </a:ext>
                <a:ext uri="{FF2B5EF4-FFF2-40B4-BE49-F238E27FC236}">
                  <a16:creationId xmlns:a16="http://schemas.microsoft.com/office/drawing/2014/main" id="{00000000-0008-0000-04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28</xdr:row>
          <xdr:rowOff>0</xdr:rowOff>
        </xdr:from>
        <xdr:to>
          <xdr:col>2</xdr:col>
          <xdr:colOff>887730</xdr:colOff>
          <xdr:row>29</xdr:row>
          <xdr:rowOff>0</xdr:rowOff>
        </xdr:to>
        <xdr:sp macro="" textlink="">
          <xdr:nvSpPr>
            <xdr:cNvPr id="16427" name="Option Button 43" hidden="1">
              <a:extLst>
                <a:ext uri="{63B3BB69-23CF-44E3-9099-C40C66FF867C}">
                  <a14:compatExt spid="_x0000_s16427"/>
                </a:ext>
                <a:ext uri="{FF2B5EF4-FFF2-40B4-BE49-F238E27FC236}">
                  <a16:creationId xmlns:a16="http://schemas.microsoft.com/office/drawing/2014/main" id="{00000000-0008-0000-04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29</xdr:row>
          <xdr:rowOff>0</xdr:rowOff>
        </xdr:from>
        <xdr:to>
          <xdr:col>2</xdr:col>
          <xdr:colOff>887730</xdr:colOff>
          <xdr:row>30</xdr:row>
          <xdr:rowOff>0</xdr:rowOff>
        </xdr:to>
        <xdr:sp macro="" textlink="">
          <xdr:nvSpPr>
            <xdr:cNvPr id="16428" name="Option Button 44" hidden="1">
              <a:extLst>
                <a:ext uri="{63B3BB69-23CF-44E3-9099-C40C66FF867C}">
                  <a14:compatExt spid="_x0000_s16428"/>
                </a:ext>
                <a:ext uri="{FF2B5EF4-FFF2-40B4-BE49-F238E27FC236}">
                  <a16:creationId xmlns:a16="http://schemas.microsoft.com/office/drawing/2014/main" id="{00000000-0008-0000-04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45</xdr:row>
          <xdr:rowOff>144780</xdr:rowOff>
        </xdr:from>
        <xdr:to>
          <xdr:col>2</xdr:col>
          <xdr:colOff>971550</xdr:colOff>
          <xdr:row>49</xdr:row>
          <xdr:rowOff>68580</xdr:rowOff>
        </xdr:to>
        <xdr:sp macro="" textlink="">
          <xdr:nvSpPr>
            <xdr:cNvPr id="16452" name="Group Box 68" hidden="1">
              <a:extLst>
                <a:ext uri="{63B3BB69-23CF-44E3-9099-C40C66FF867C}">
                  <a14:compatExt spid="_x0000_s16452"/>
                </a:ext>
                <a:ext uri="{FF2B5EF4-FFF2-40B4-BE49-F238E27FC236}">
                  <a16:creationId xmlns:a16="http://schemas.microsoft.com/office/drawing/2014/main" id="{00000000-0008-0000-0400-00004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46</xdr:row>
          <xdr:rowOff>7620</xdr:rowOff>
        </xdr:from>
        <xdr:to>
          <xdr:col>2</xdr:col>
          <xdr:colOff>906780</xdr:colOff>
          <xdr:row>47</xdr:row>
          <xdr:rowOff>0</xdr:rowOff>
        </xdr:to>
        <xdr:sp macro="" textlink="">
          <xdr:nvSpPr>
            <xdr:cNvPr id="16453" name="Option Button 69" hidden="1">
              <a:extLst>
                <a:ext uri="{63B3BB69-23CF-44E3-9099-C40C66FF867C}">
                  <a14:compatExt spid="_x0000_s16453"/>
                </a:ext>
                <a:ext uri="{FF2B5EF4-FFF2-40B4-BE49-F238E27FC236}">
                  <a16:creationId xmlns:a16="http://schemas.microsoft.com/office/drawing/2014/main" id="{00000000-0008-0000-04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47</xdr:row>
          <xdr:rowOff>0</xdr:rowOff>
        </xdr:from>
        <xdr:to>
          <xdr:col>2</xdr:col>
          <xdr:colOff>906780</xdr:colOff>
          <xdr:row>48</xdr:row>
          <xdr:rowOff>0</xdr:rowOff>
        </xdr:to>
        <xdr:sp macro="" textlink="">
          <xdr:nvSpPr>
            <xdr:cNvPr id="16454" name="Option Button 70" hidden="1">
              <a:extLst>
                <a:ext uri="{63B3BB69-23CF-44E3-9099-C40C66FF867C}">
                  <a14:compatExt spid="_x0000_s16454"/>
                </a:ext>
                <a:ext uri="{FF2B5EF4-FFF2-40B4-BE49-F238E27FC236}">
                  <a16:creationId xmlns:a16="http://schemas.microsoft.com/office/drawing/2014/main" id="{00000000-0008-0000-04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48</xdr:row>
          <xdr:rowOff>11430</xdr:rowOff>
        </xdr:from>
        <xdr:to>
          <xdr:col>2</xdr:col>
          <xdr:colOff>887730</xdr:colOff>
          <xdr:row>49</xdr:row>
          <xdr:rowOff>0</xdr:rowOff>
        </xdr:to>
        <xdr:sp macro="" textlink="">
          <xdr:nvSpPr>
            <xdr:cNvPr id="16455" name="Option Button 71" hidden="1">
              <a:extLst>
                <a:ext uri="{63B3BB69-23CF-44E3-9099-C40C66FF867C}">
                  <a14:compatExt spid="_x0000_s16455"/>
                </a:ext>
                <a:ext uri="{FF2B5EF4-FFF2-40B4-BE49-F238E27FC236}">
                  <a16:creationId xmlns:a16="http://schemas.microsoft.com/office/drawing/2014/main" id="{00000000-0008-0000-0400-00004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50</xdr:row>
          <xdr:rowOff>95250</xdr:rowOff>
        </xdr:from>
        <xdr:to>
          <xdr:col>2</xdr:col>
          <xdr:colOff>1436370</xdr:colOff>
          <xdr:row>53</xdr:row>
          <xdr:rowOff>87630</xdr:rowOff>
        </xdr:to>
        <xdr:sp macro="" textlink="">
          <xdr:nvSpPr>
            <xdr:cNvPr id="16456" name="Group Box 72" hidden="1">
              <a:extLst>
                <a:ext uri="{63B3BB69-23CF-44E3-9099-C40C66FF867C}">
                  <a14:compatExt spid="_x0000_s16456"/>
                </a:ext>
                <a:ext uri="{FF2B5EF4-FFF2-40B4-BE49-F238E27FC236}">
                  <a16:creationId xmlns:a16="http://schemas.microsoft.com/office/drawing/2014/main" id="{00000000-0008-0000-0400-00004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51</xdr:row>
          <xdr:rowOff>0</xdr:rowOff>
        </xdr:from>
        <xdr:to>
          <xdr:col>2</xdr:col>
          <xdr:colOff>906780</xdr:colOff>
          <xdr:row>52</xdr:row>
          <xdr:rowOff>0</xdr:rowOff>
        </xdr:to>
        <xdr:sp macro="" textlink="">
          <xdr:nvSpPr>
            <xdr:cNvPr id="16457" name="Option Button 73" hidden="1">
              <a:extLst>
                <a:ext uri="{63B3BB69-23CF-44E3-9099-C40C66FF867C}">
                  <a14:compatExt spid="_x0000_s16457"/>
                </a:ext>
                <a:ext uri="{FF2B5EF4-FFF2-40B4-BE49-F238E27FC236}">
                  <a16:creationId xmlns:a16="http://schemas.microsoft.com/office/drawing/2014/main" id="{00000000-0008-0000-04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51</xdr:row>
          <xdr:rowOff>201930</xdr:rowOff>
        </xdr:from>
        <xdr:to>
          <xdr:col>2</xdr:col>
          <xdr:colOff>906780</xdr:colOff>
          <xdr:row>53</xdr:row>
          <xdr:rowOff>0</xdr:rowOff>
        </xdr:to>
        <xdr:sp macro="" textlink="">
          <xdr:nvSpPr>
            <xdr:cNvPr id="16458" name="Option Button 74" hidden="1">
              <a:extLst>
                <a:ext uri="{63B3BB69-23CF-44E3-9099-C40C66FF867C}">
                  <a14:compatExt spid="_x0000_s16458"/>
                </a:ext>
                <a:ext uri="{FF2B5EF4-FFF2-40B4-BE49-F238E27FC236}">
                  <a16:creationId xmlns:a16="http://schemas.microsoft.com/office/drawing/2014/main" id="{00000000-0008-0000-04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53</xdr:row>
          <xdr:rowOff>160020</xdr:rowOff>
        </xdr:from>
        <xdr:to>
          <xdr:col>2</xdr:col>
          <xdr:colOff>1078230</xdr:colOff>
          <xdr:row>58</xdr:row>
          <xdr:rowOff>331470</xdr:rowOff>
        </xdr:to>
        <xdr:sp macro="" textlink="">
          <xdr:nvSpPr>
            <xdr:cNvPr id="16459" name="Group Box 75" hidden="1">
              <a:extLst>
                <a:ext uri="{63B3BB69-23CF-44E3-9099-C40C66FF867C}">
                  <a14:compatExt spid="_x0000_s16459"/>
                </a:ext>
                <a:ext uri="{FF2B5EF4-FFF2-40B4-BE49-F238E27FC236}">
                  <a16:creationId xmlns:a16="http://schemas.microsoft.com/office/drawing/2014/main" id="{00000000-0008-0000-0400-00004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54</xdr:row>
          <xdr:rowOff>304800</xdr:rowOff>
        </xdr:from>
        <xdr:to>
          <xdr:col>2</xdr:col>
          <xdr:colOff>906780</xdr:colOff>
          <xdr:row>54</xdr:row>
          <xdr:rowOff>525780</xdr:rowOff>
        </xdr:to>
        <xdr:sp macro="" textlink="">
          <xdr:nvSpPr>
            <xdr:cNvPr id="16460" name="Option Button 76" hidden="1">
              <a:extLst>
                <a:ext uri="{63B3BB69-23CF-44E3-9099-C40C66FF867C}">
                  <a14:compatExt spid="_x0000_s16460"/>
                </a:ext>
                <a:ext uri="{FF2B5EF4-FFF2-40B4-BE49-F238E27FC236}">
                  <a16:creationId xmlns:a16="http://schemas.microsoft.com/office/drawing/2014/main" id="{00000000-0008-0000-04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55</xdr:row>
          <xdr:rowOff>152400</xdr:rowOff>
        </xdr:from>
        <xdr:to>
          <xdr:col>2</xdr:col>
          <xdr:colOff>906780</xdr:colOff>
          <xdr:row>55</xdr:row>
          <xdr:rowOff>373380</xdr:rowOff>
        </xdr:to>
        <xdr:sp macro="" textlink="">
          <xdr:nvSpPr>
            <xdr:cNvPr id="16461" name="Option Button 77" hidden="1">
              <a:extLst>
                <a:ext uri="{63B3BB69-23CF-44E3-9099-C40C66FF867C}">
                  <a14:compatExt spid="_x0000_s16461"/>
                </a:ext>
                <a:ext uri="{FF2B5EF4-FFF2-40B4-BE49-F238E27FC236}">
                  <a16:creationId xmlns:a16="http://schemas.microsoft.com/office/drawing/2014/main" id="{00000000-0008-0000-04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56</xdr:row>
          <xdr:rowOff>68580</xdr:rowOff>
        </xdr:from>
        <xdr:to>
          <xdr:col>2</xdr:col>
          <xdr:colOff>906780</xdr:colOff>
          <xdr:row>56</xdr:row>
          <xdr:rowOff>285750</xdr:rowOff>
        </xdr:to>
        <xdr:sp macro="" textlink="">
          <xdr:nvSpPr>
            <xdr:cNvPr id="16462" name="Option Button 78" hidden="1">
              <a:extLst>
                <a:ext uri="{63B3BB69-23CF-44E3-9099-C40C66FF867C}">
                  <a14:compatExt spid="_x0000_s16462"/>
                </a:ext>
                <a:ext uri="{FF2B5EF4-FFF2-40B4-BE49-F238E27FC236}">
                  <a16:creationId xmlns:a16="http://schemas.microsoft.com/office/drawing/2014/main" id="{00000000-0008-0000-0400-00004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57</xdr:row>
          <xdr:rowOff>0</xdr:rowOff>
        </xdr:from>
        <xdr:to>
          <xdr:col>2</xdr:col>
          <xdr:colOff>906780</xdr:colOff>
          <xdr:row>58</xdr:row>
          <xdr:rowOff>0</xdr:rowOff>
        </xdr:to>
        <xdr:sp macro="" textlink="">
          <xdr:nvSpPr>
            <xdr:cNvPr id="16463" name="Option Button 79" hidden="1">
              <a:extLst>
                <a:ext uri="{63B3BB69-23CF-44E3-9099-C40C66FF867C}">
                  <a14:compatExt spid="_x0000_s16463"/>
                </a:ext>
                <a:ext uri="{FF2B5EF4-FFF2-40B4-BE49-F238E27FC236}">
                  <a16:creationId xmlns:a16="http://schemas.microsoft.com/office/drawing/2014/main" id="{00000000-0008-0000-0400-00004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58</xdr:row>
          <xdr:rowOff>236220</xdr:rowOff>
        </xdr:from>
        <xdr:to>
          <xdr:col>2</xdr:col>
          <xdr:colOff>952500</xdr:colOff>
          <xdr:row>60</xdr:row>
          <xdr:rowOff>255270</xdr:rowOff>
        </xdr:to>
        <xdr:sp macro="" textlink="">
          <xdr:nvSpPr>
            <xdr:cNvPr id="16464" name="Group Box 80" hidden="1">
              <a:extLst>
                <a:ext uri="{63B3BB69-23CF-44E3-9099-C40C66FF867C}">
                  <a14:compatExt spid="_x0000_s16464"/>
                </a:ext>
                <a:ext uri="{FF2B5EF4-FFF2-40B4-BE49-F238E27FC236}">
                  <a16:creationId xmlns:a16="http://schemas.microsoft.com/office/drawing/2014/main" id="{00000000-0008-0000-0400-00005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59</xdr:row>
          <xdr:rowOff>0</xdr:rowOff>
        </xdr:from>
        <xdr:to>
          <xdr:col>2</xdr:col>
          <xdr:colOff>906780</xdr:colOff>
          <xdr:row>60</xdr:row>
          <xdr:rowOff>0</xdr:rowOff>
        </xdr:to>
        <xdr:sp macro="" textlink="">
          <xdr:nvSpPr>
            <xdr:cNvPr id="16465" name="Option Button 81" hidden="1">
              <a:extLst>
                <a:ext uri="{63B3BB69-23CF-44E3-9099-C40C66FF867C}">
                  <a14:compatExt spid="_x0000_s16465"/>
                </a:ext>
                <a:ext uri="{FF2B5EF4-FFF2-40B4-BE49-F238E27FC236}">
                  <a16:creationId xmlns:a16="http://schemas.microsoft.com/office/drawing/2014/main" id="{00000000-0008-0000-0400-00005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60</xdr:row>
          <xdr:rowOff>0</xdr:rowOff>
        </xdr:from>
        <xdr:to>
          <xdr:col>2</xdr:col>
          <xdr:colOff>906780</xdr:colOff>
          <xdr:row>60</xdr:row>
          <xdr:rowOff>198120</xdr:rowOff>
        </xdr:to>
        <xdr:sp macro="" textlink="">
          <xdr:nvSpPr>
            <xdr:cNvPr id="16466" name="Option Button 82" hidden="1">
              <a:extLst>
                <a:ext uri="{63B3BB69-23CF-44E3-9099-C40C66FF867C}">
                  <a14:compatExt spid="_x0000_s16466"/>
                </a:ext>
                <a:ext uri="{FF2B5EF4-FFF2-40B4-BE49-F238E27FC236}">
                  <a16:creationId xmlns:a16="http://schemas.microsoft.com/office/drawing/2014/main" id="{00000000-0008-0000-0400-00005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61</xdr:row>
          <xdr:rowOff>152400</xdr:rowOff>
        </xdr:from>
        <xdr:to>
          <xdr:col>2</xdr:col>
          <xdr:colOff>990600</xdr:colOff>
          <xdr:row>65</xdr:row>
          <xdr:rowOff>87630</xdr:rowOff>
        </xdr:to>
        <xdr:sp macro="" textlink="">
          <xdr:nvSpPr>
            <xdr:cNvPr id="16467" name="Group Box 83" hidden="1">
              <a:extLst>
                <a:ext uri="{63B3BB69-23CF-44E3-9099-C40C66FF867C}">
                  <a14:compatExt spid="_x0000_s16467"/>
                </a:ext>
                <a:ext uri="{FF2B5EF4-FFF2-40B4-BE49-F238E27FC236}">
                  <a16:creationId xmlns:a16="http://schemas.microsoft.com/office/drawing/2014/main" id="{00000000-0008-0000-0400-00005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62</xdr:row>
          <xdr:rowOff>0</xdr:rowOff>
        </xdr:from>
        <xdr:to>
          <xdr:col>2</xdr:col>
          <xdr:colOff>906780</xdr:colOff>
          <xdr:row>63</xdr:row>
          <xdr:rowOff>0</xdr:rowOff>
        </xdr:to>
        <xdr:sp macro="" textlink="">
          <xdr:nvSpPr>
            <xdr:cNvPr id="16468" name="Option Button 84" hidden="1">
              <a:extLst>
                <a:ext uri="{63B3BB69-23CF-44E3-9099-C40C66FF867C}">
                  <a14:compatExt spid="_x0000_s16468"/>
                </a:ext>
                <a:ext uri="{FF2B5EF4-FFF2-40B4-BE49-F238E27FC236}">
                  <a16:creationId xmlns:a16="http://schemas.microsoft.com/office/drawing/2014/main" id="{00000000-0008-0000-0400-00005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63</xdr:row>
          <xdr:rowOff>68580</xdr:rowOff>
        </xdr:from>
        <xdr:to>
          <xdr:col>2</xdr:col>
          <xdr:colOff>906780</xdr:colOff>
          <xdr:row>63</xdr:row>
          <xdr:rowOff>297180</xdr:rowOff>
        </xdr:to>
        <xdr:sp macro="" textlink="">
          <xdr:nvSpPr>
            <xdr:cNvPr id="16472" name="Option Button 88" hidden="1">
              <a:extLst>
                <a:ext uri="{63B3BB69-23CF-44E3-9099-C40C66FF867C}">
                  <a14:compatExt spid="_x0000_s16472"/>
                </a:ext>
                <a:ext uri="{FF2B5EF4-FFF2-40B4-BE49-F238E27FC236}">
                  <a16:creationId xmlns:a16="http://schemas.microsoft.com/office/drawing/2014/main" id="{00000000-0008-0000-0400-00005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64</xdr:row>
          <xdr:rowOff>38100</xdr:rowOff>
        </xdr:from>
        <xdr:to>
          <xdr:col>2</xdr:col>
          <xdr:colOff>906780</xdr:colOff>
          <xdr:row>64</xdr:row>
          <xdr:rowOff>278130</xdr:rowOff>
        </xdr:to>
        <xdr:sp macro="" textlink="">
          <xdr:nvSpPr>
            <xdr:cNvPr id="16473" name="Option Button 89" hidden="1">
              <a:extLst>
                <a:ext uri="{63B3BB69-23CF-44E3-9099-C40C66FF867C}">
                  <a14:compatExt spid="_x0000_s16473"/>
                </a:ext>
                <a:ext uri="{FF2B5EF4-FFF2-40B4-BE49-F238E27FC236}">
                  <a16:creationId xmlns:a16="http://schemas.microsoft.com/office/drawing/2014/main" id="{00000000-0008-0000-0400-00005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95250</xdr:rowOff>
        </xdr:from>
        <xdr:to>
          <xdr:col>4</xdr:col>
          <xdr:colOff>1436370</xdr:colOff>
          <xdr:row>12</xdr:row>
          <xdr:rowOff>19050</xdr:rowOff>
        </xdr:to>
        <xdr:sp macro="" textlink="">
          <xdr:nvSpPr>
            <xdr:cNvPr id="16475" name="Group Box 91" hidden="1">
              <a:extLst>
                <a:ext uri="{63B3BB69-23CF-44E3-9099-C40C66FF867C}">
                  <a14:compatExt spid="_x0000_s16475"/>
                </a:ext>
                <a:ext uri="{FF2B5EF4-FFF2-40B4-BE49-F238E27FC236}">
                  <a16:creationId xmlns:a16="http://schemas.microsoft.com/office/drawing/2014/main" id="{00000000-0008-0000-0400-00005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8</xdr:row>
          <xdr:rowOff>7620</xdr:rowOff>
        </xdr:from>
        <xdr:to>
          <xdr:col>4</xdr:col>
          <xdr:colOff>906780</xdr:colOff>
          <xdr:row>9</xdr:row>
          <xdr:rowOff>0</xdr:rowOff>
        </xdr:to>
        <xdr:sp macro="" textlink="">
          <xdr:nvSpPr>
            <xdr:cNvPr id="16476" name="Option Button 92" hidden="1">
              <a:extLst>
                <a:ext uri="{63B3BB69-23CF-44E3-9099-C40C66FF867C}">
                  <a14:compatExt spid="_x0000_s16476"/>
                </a:ext>
                <a:ext uri="{FF2B5EF4-FFF2-40B4-BE49-F238E27FC236}">
                  <a16:creationId xmlns:a16="http://schemas.microsoft.com/office/drawing/2014/main" id="{00000000-0008-0000-0400-00005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9</xdr:row>
          <xdr:rowOff>11430</xdr:rowOff>
        </xdr:from>
        <xdr:to>
          <xdr:col>4</xdr:col>
          <xdr:colOff>895350</xdr:colOff>
          <xdr:row>10</xdr:row>
          <xdr:rowOff>0</xdr:rowOff>
        </xdr:to>
        <xdr:sp macro="" textlink="">
          <xdr:nvSpPr>
            <xdr:cNvPr id="16477" name="Option Button 93" hidden="1">
              <a:extLst>
                <a:ext uri="{63B3BB69-23CF-44E3-9099-C40C66FF867C}">
                  <a14:compatExt spid="_x0000_s16477"/>
                </a:ext>
                <a:ext uri="{FF2B5EF4-FFF2-40B4-BE49-F238E27FC236}">
                  <a16:creationId xmlns:a16="http://schemas.microsoft.com/office/drawing/2014/main" id="{00000000-0008-0000-0400-00005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10</xdr:row>
          <xdr:rowOff>0</xdr:rowOff>
        </xdr:from>
        <xdr:to>
          <xdr:col>4</xdr:col>
          <xdr:colOff>906780</xdr:colOff>
          <xdr:row>11</xdr:row>
          <xdr:rowOff>0</xdr:rowOff>
        </xdr:to>
        <xdr:sp macro="" textlink="">
          <xdr:nvSpPr>
            <xdr:cNvPr id="16478" name="Option Button 94" hidden="1">
              <a:extLst>
                <a:ext uri="{63B3BB69-23CF-44E3-9099-C40C66FF867C}">
                  <a14:compatExt spid="_x0000_s16478"/>
                </a:ext>
                <a:ext uri="{FF2B5EF4-FFF2-40B4-BE49-F238E27FC236}">
                  <a16:creationId xmlns:a16="http://schemas.microsoft.com/office/drawing/2014/main" id="{00000000-0008-0000-0400-00005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11</xdr:row>
          <xdr:rowOff>220980</xdr:rowOff>
        </xdr:from>
        <xdr:to>
          <xdr:col>4</xdr:col>
          <xdr:colOff>887730</xdr:colOff>
          <xdr:row>11</xdr:row>
          <xdr:rowOff>449580</xdr:rowOff>
        </xdr:to>
        <xdr:sp macro="" textlink="">
          <xdr:nvSpPr>
            <xdr:cNvPr id="16479" name="Option Button 95" hidden="1">
              <a:extLst>
                <a:ext uri="{63B3BB69-23CF-44E3-9099-C40C66FF867C}">
                  <a14:compatExt spid="_x0000_s16479"/>
                </a:ext>
                <a:ext uri="{FF2B5EF4-FFF2-40B4-BE49-F238E27FC236}">
                  <a16:creationId xmlns:a16="http://schemas.microsoft.com/office/drawing/2014/main" id="{00000000-0008-0000-0400-00005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xdr:row>
          <xdr:rowOff>95250</xdr:rowOff>
        </xdr:from>
        <xdr:to>
          <xdr:col>4</xdr:col>
          <xdr:colOff>1436370</xdr:colOff>
          <xdr:row>17</xdr:row>
          <xdr:rowOff>0</xdr:rowOff>
        </xdr:to>
        <xdr:sp macro="" textlink="">
          <xdr:nvSpPr>
            <xdr:cNvPr id="16480" name="Group Box 96" hidden="1">
              <a:extLst>
                <a:ext uri="{63B3BB69-23CF-44E3-9099-C40C66FF867C}">
                  <a14:compatExt spid="_x0000_s16480"/>
                </a:ext>
                <a:ext uri="{FF2B5EF4-FFF2-40B4-BE49-F238E27FC236}">
                  <a16:creationId xmlns:a16="http://schemas.microsoft.com/office/drawing/2014/main" id="{00000000-0008-0000-0400-00006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13</xdr:row>
          <xdr:rowOff>0</xdr:rowOff>
        </xdr:from>
        <xdr:to>
          <xdr:col>4</xdr:col>
          <xdr:colOff>887730</xdr:colOff>
          <xdr:row>14</xdr:row>
          <xdr:rowOff>0</xdr:rowOff>
        </xdr:to>
        <xdr:sp macro="" textlink="">
          <xdr:nvSpPr>
            <xdr:cNvPr id="16481" name="Option Button 97" hidden="1">
              <a:extLst>
                <a:ext uri="{63B3BB69-23CF-44E3-9099-C40C66FF867C}">
                  <a14:compatExt spid="_x0000_s16481"/>
                </a:ext>
                <a:ext uri="{FF2B5EF4-FFF2-40B4-BE49-F238E27FC236}">
                  <a16:creationId xmlns:a16="http://schemas.microsoft.com/office/drawing/2014/main" id="{00000000-0008-0000-0400-00006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14</xdr:row>
          <xdr:rowOff>11430</xdr:rowOff>
        </xdr:from>
        <xdr:to>
          <xdr:col>4</xdr:col>
          <xdr:colOff>887730</xdr:colOff>
          <xdr:row>15</xdr:row>
          <xdr:rowOff>0</xdr:rowOff>
        </xdr:to>
        <xdr:sp macro="" textlink="">
          <xdr:nvSpPr>
            <xdr:cNvPr id="16482" name="Option Button 98" hidden="1">
              <a:extLst>
                <a:ext uri="{63B3BB69-23CF-44E3-9099-C40C66FF867C}">
                  <a14:compatExt spid="_x0000_s16482"/>
                </a:ext>
                <a:ext uri="{FF2B5EF4-FFF2-40B4-BE49-F238E27FC236}">
                  <a16:creationId xmlns:a16="http://schemas.microsoft.com/office/drawing/2014/main" id="{00000000-0008-0000-0400-00006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15</xdr:row>
          <xdr:rowOff>163830</xdr:rowOff>
        </xdr:from>
        <xdr:to>
          <xdr:col>4</xdr:col>
          <xdr:colOff>887730</xdr:colOff>
          <xdr:row>15</xdr:row>
          <xdr:rowOff>373380</xdr:rowOff>
        </xdr:to>
        <xdr:sp macro="" textlink="">
          <xdr:nvSpPr>
            <xdr:cNvPr id="16483" name="Option Button 99" hidden="1">
              <a:extLst>
                <a:ext uri="{63B3BB69-23CF-44E3-9099-C40C66FF867C}">
                  <a14:compatExt spid="_x0000_s16483"/>
                </a:ext>
                <a:ext uri="{FF2B5EF4-FFF2-40B4-BE49-F238E27FC236}">
                  <a16:creationId xmlns:a16="http://schemas.microsoft.com/office/drawing/2014/main" id="{00000000-0008-0000-0400-00006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17</xdr:row>
          <xdr:rowOff>76200</xdr:rowOff>
        </xdr:from>
        <xdr:to>
          <xdr:col>4</xdr:col>
          <xdr:colOff>1436370</xdr:colOff>
          <xdr:row>22</xdr:row>
          <xdr:rowOff>57150</xdr:rowOff>
        </xdr:to>
        <xdr:sp macro="" textlink="">
          <xdr:nvSpPr>
            <xdr:cNvPr id="16486" name="Group Box 102" hidden="1">
              <a:extLst>
                <a:ext uri="{63B3BB69-23CF-44E3-9099-C40C66FF867C}">
                  <a14:compatExt spid="_x0000_s16486"/>
                </a:ext>
                <a:ext uri="{FF2B5EF4-FFF2-40B4-BE49-F238E27FC236}">
                  <a16:creationId xmlns:a16="http://schemas.microsoft.com/office/drawing/2014/main" id="{00000000-0008-0000-0400-00006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18</xdr:row>
          <xdr:rowOff>0</xdr:rowOff>
        </xdr:from>
        <xdr:to>
          <xdr:col>4</xdr:col>
          <xdr:colOff>895350</xdr:colOff>
          <xdr:row>19</xdr:row>
          <xdr:rowOff>0</xdr:rowOff>
        </xdr:to>
        <xdr:sp macro="" textlink="">
          <xdr:nvSpPr>
            <xdr:cNvPr id="16487" name="Option Button 103" hidden="1">
              <a:extLst>
                <a:ext uri="{63B3BB69-23CF-44E3-9099-C40C66FF867C}">
                  <a14:compatExt spid="_x0000_s16487"/>
                </a:ext>
                <a:ext uri="{FF2B5EF4-FFF2-40B4-BE49-F238E27FC236}">
                  <a16:creationId xmlns:a16="http://schemas.microsoft.com/office/drawing/2014/main" id="{00000000-0008-0000-0400-00006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19</xdr:row>
          <xdr:rowOff>11430</xdr:rowOff>
        </xdr:from>
        <xdr:to>
          <xdr:col>4</xdr:col>
          <xdr:colOff>895350</xdr:colOff>
          <xdr:row>20</xdr:row>
          <xdr:rowOff>0</xdr:rowOff>
        </xdr:to>
        <xdr:sp macro="" textlink="">
          <xdr:nvSpPr>
            <xdr:cNvPr id="16489" name="Option Button 105" hidden="1">
              <a:extLst>
                <a:ext uri="{63B3BB69-23CF-44E3-9099-C40C66FF867C}">
                  <a14:compatExt spid="_x0000_s16489"/>
                </a:ext>
                <a:ext uri="{FF2B5EF4-FFF2-40B4-BE49-F238E27FC236}">
                  <a16:creationId xmlns:a16="http://schemas.microsoft.com/office/drawing/2014/main" id="{00000000-0008-0000-0400-00006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20</xdr:row>
          <xdr:rowOff>0</xdr:rowOff>
        </xdr:from>
        <xdr:to>
          <xdr:col>4</xdr:col>
          <xdr:colOff>895350</xdr:colOff>
          <xdr:row>21</xdr:row>
          <xdr:rowOff>0</xdr:rowOff>
        </xdr:to>
        <xdr:sp macro="" textlink="">
          <xdr:nvSpPr>
            <xdr:cNvPr id="16490" name="Option Button 106" hidden="1">
              <a:extLst>
                <a:ext uri="{63B3BB69-23CF-44E3-9099-C40C66FF867C}">
                  <a14:compatExt spid="_x0000_s16490"/>
                </a:ext>
                <a:ext uri="{FF2B5EF4-FFF2-40B4-BE49-F238E27FC236}">
                  <a16:creationId xmlns:a16="http://schemas.microsoft.com/office/drawing/2014/main" id="{00000000-0008-0000-0400-00006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21</xdr:row>
          <xdr:rowOff>7620</xdr:rowOff>
        </xdr:from>
        <xdr:to>
          <xdr:col>4</xdr:col>
          <xdr:colOff>895350</xdr:colOff>
          <xdr:row>22</xdr:row>
          <xdr:rowOff>0</xdr:rowOff>
        </xdr:to>
        <xdr:sp macro="" textlink="">
          <xdr:nvSpPr>
            <xdr:cNvPr id="16491" name="Option Button 107" hidden="1">
              <a:extLst>
                <a:ext uri="{63B3BB69-23CF-44E3-9099-C40C66FF867C}">
                  <a14:compatExt spid="_x0000_s16491"/>
                </a:ext>
                <a:ext uri="{FF2B5EF4-FFF2-40B4-BE49-F238E27FC236}">
                  <a16:creationId xmlns:a16="http://schemas.microsoft.com/office/drawing/2014/main" id="{00000000-0008-0000-0400-00006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16</xdr:row>
          <xdr:rowOff>11430</xdr:rowOff>
        </xdr:from>
        <xdr:to>
          <xdr:col>4</xdr:col>
          <xdr:colOff>906780</xdr:colOff>
          <xdr:row>17</xdr:row>
          <xdr:rowOff>0</xdr:rowOff>
        </xdr:to>
        <xdr:sp macro="" textlink="">
          <xdr:nvSpPr>
            <xdr:cNvPr id="16492" name="Option Button 108" hidden="1">
              <a:extLst>
                <a:ext uri="{63B3BB69-23CF-44E3-9099-C40C66FF867C}">
                  <a14:compatExt spid="_x0000_s16492"/>
                </a:ext>
                <a:ext uri="{FF2B5EF4-FFF2-40B4-BE49-F238E27FC236}">
                  <a16:creationId xmlns:a16="http://schemas.microsoft.com/office/drawing/2014/main" id="{00000000-0008-0000-0400-00006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106680</xdr:rowOff>
        </xdr:from>
        <xdr:to>
          <xdr:col>4</xdr:col>
          <xdr:colOff>1436370</xdr:colOff>
          <xdr:row>26</xdr:row>
          <xdr:rowOff>144780</xdr:rowOff>
        </xdr:to>
        <xdr:sp macro="" textlink="">
          <xdr:nvSpPr>
            <xdr:cNvPr id="16493" name="Group Box 109" hidden="1">
              <a:extLst>
                <a:ext uri="{63B3BB69-23CF-44E3-9099-C40C66FF867C}">
                  <a14:compatExt spid="_x0000_s16493"/>
                </a:ext>
                <a:ext uri="{FF2B5EF4-FFF2-40B4-BE49-F238E27FC236}">
                  <a16:creationId xmlns:a16="http://schemas.microsoft.com/office/drawing/2014/main" id="{00000000-0008-0000-0400-00006D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23</xdr:row>
          <xdr:rowOff>11430</xdr:rowOff>
        </xdr:from>
        <xdr:to>
          <xdr:col>4</xdr:col>
          <xdr:colOff>906780</xdr:colOff>
          <xdr:row>24</xdr:row>
          <xdr:rowOff>0</xdr:rowOff>
        </xdr:to>
        <xdr:sp macro="" textlink="">
          <xdr:nvSpPr>
            <xdr:cNvPr id="16494" name="Option Button 110" hidden="1">
              <a:extLst>
                <a:ext uri="{63B3BB69-23CF-44E3-9099-C40C66FF867C}">
                  <a14:compatExt spid="_x0000_s16494"/>
                </a:ext>
                <a:ext uri="{FF2B5EF4-FFF2-40B4-BE49-F238E27FC236}">
                  <a16:creationId xmlns:a16="http://schemas.microsoft.com/office/drawing/2014/main" id="{00000000-0008-0000-0400-00006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24</xdr:row>
          <xdr:rowOff>0</xdr:rowOff>
        </xdr:from>
        <xdr:to>
          <xdr:col>4</xdr:col>
          <xdr:colOff>906780</xdr:colOff>
          <xdr:row>25</xdr:row>
          <xdr:rowOff>0</xdr:rowOff>
        </xdr:to>
        <xdr:sp macro="" textlink="">
          <xdr:nvSpPr>
            <xdr:cNvPr id="16495" name="Option Button 111" hidden="1">
              <a:extLst>
                <a:ext uri="{63B3BB69-23CF-44E3-9099-C40C66FF867C}">
                  <a14:compatExt spid="_x0000_s16495"/>
                </a:ext>
                <a:ext uri="{FF2B5EF4-FFF2-40B4-BE49-F238E27FC236}">
                  <a16:creationId xmlns:a16="http://schemas.microsoft.com/office/drawing/2014/main" id="{00000000-0008-0000-0400-00006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25</xdr:row>
          <xdr:rowOff>11430</xdr:rowOff>
        </xdr:from>
        <xdr:to>
          <xdr:col>4</xdr:col>
          <xdr:colOff>906780</xdr:colOff>
          <xdr:row>26</xdr:row>
          <xdr:rowOff>0</xdr:rowOff>
        </xdr:to>
        <xdr:sp macro="" textlink="">
          <xdr:nvSpPr>
            <xdr:cNvPr id="16496" name="Option Button 112" hidden="1">
              <a:extLst>
                <a:ext uri="{63B3BB69-23CF-44E3-9099-C40C66FF867C}">
                  <a14:compatExt spid="_x0000_s16496"/>
                </a:ext>
                <a:ext uri="{FF2B5EF4-FFF2-40B4-BE49-F238E27FC236}">
                  <a16:creationId xmlns:a16="http://schemas.microsoft.com/office/drawing/2014/main" id="{00000000-0008-0000-0400-00007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26</xdr:row>
          <xdr:rowOff>220980</xdr:rowOff>
        </xdr:from>
        <xdr:to>
          <xdr:col>4</xdr:col>
          <xdr:colOff>1436370</xdr:colOff>
          <xdr:row>30</xdr:row>
          <xdr:rowOff>68580</xdr:rowOff>
        </xdr:to>
        <xdr:sp macro="" textlink="">
          <xdr:nvSpPr>
            <xdr:cNvPr id="16497" name="Group Box 113" hidden="1">
              <a:extLst>
                <a:ext uri="{63B3BB69-23CF-44E3-9099-C40C66FF867C}">
                  <a14:compatExt spid="_x0000_s16497"/>
                </a:ext>
                <a:ext uri="{FF2B5EF4-FFF2-40B4-BE49-F238E27FC236}">
                  <a16:creationId xmlns:a16="http://schemas.microsoft.com/office/drawing/2014/main" id="{00000000-0008-0000-0400-00007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27</xdr:row>
          <xdr:rowOff>0</xdr:rowOff>
        </xdr:from>
        <xdr:to>
          <xdr:col>4</xdr:col>
          <xdr:colOff>887730</xdr:colOff>
          <xdr:row>28</xdr:row>
          <xdr:rowOff>0</xdr:rowOff>
        </xdr:to>
        <xdr:sp macro="" textlink="">
          <xdr:nvSpPr>
            <xdr:cNvPr id="16498" name="Option Button 114" hidden="1">
              <a:extLst>
                <a:ext uri="{63B3BB69-23CF-44E3-9099-C40C66FF867C}">
                  <a14:compatExt spid="_x0000_s16498"/>
                </a:ext>
                <a:ext uri="{FF2B5EF4-FFF2-40B4-BE49-F238E27FC236}">
                  <a16:creationId xmlns:a16="http://schemas.microsoft.com/office/drawing/2014/main" id="{00000000-0008-0000-0400-00007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28</xdr:row>
          <xdr:rowOff>0</xdr:rowOff>
        </xdr:from>
        <xdr:to>
          <xdr:col>4</xdr:col>
          <xdr:colOff>906780</xdr:colOff>
          <xdr:row>29</xdr:row>
          <xdr:rowOff>0</xdr:rowOff>
        </xdr:to>
        <xdr:sp macro="" textlink="">
          <xdr:nvSpPr>
            <xdr:cNvPr id="16499" name="Option Button 115" hidden="1">
              <a:extLst>
                <a:ext uri="{63B3BB69-23CF-44E3-9099-C40C66FF867C}">
                  <a14:compatExt spid="_x0000_s16499"/>
                </a:ext>
                <a:ext uri="{FF2B5EF4-FFF2-40B4-BE49-F238E27FC236}">
                  <a16:creationId xmlns:a16="http://schemas.microsoft.com/office/drawing/2014/main" id="{00000000-0008-0000-0400-00007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29</xdr:row>
          <xdr:rowOff>0</xdr:rowOff>
        </xdr:from>
        <xdr:to>
          <xdr:col>4</xdr:col>
          <xdr:colOff>906780</xdr:colOff>
          <xdr:row>30</xdr:row>
          <xdr:rowOff>0</xdr:rowOff>
        </xdr:to>
        <xdr:sp macro="" textlink="">
          <xdr:nvSpPr>
            <xdr:cNvPr id="16500" name="Option Button 116" hidden="1">
              <a:extLst>
                <a:ext uri="{63B3BB69-23CF-44E3-9099-C40C66FF867C}">
                  <a14:compatExt spid="_x0000_s16500"/>
                </a:ext>
                <a:ext uri="{FF2B5EF4-FFF2-40B4-BE49-F238E27FC236}">
                  <a16:creationId xmlns:a16="http://schemas.microsoft.com/office/drawing/2014/main" id="{00000000-0008-0000-0400-00007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30</xdr:row>
          <xdr:rowOff>125730</xdr:rowOff>
        </xdr:from>
        <xdr:to>
          <xdr:col>4</xdr:col>
          <xdr:colOff>1436370</xdr:colOff>
          <xdr:row>36</xdr:row>
          <xdr:rowOff>57150</xdr:rowOff>
        </xdr:to>
        <xdr:sp macro="" textlink="">
          <xdr:nvSpPr>
            <xdr:cNvPr id="16501" name="Group Box 117" hidden="1">
              <a:extLst>
                <a:ext uri="{63B3BB69-23CF-44E3-9099-C40C66FF867C}">
                  <a14:compatExt spid="_x0000_s16501"/>
                </a:ext>
                <a:ext uri="{FF2B5EF4-FFF2-40B4-BE49-F238E27FC236}">
                  <a16:creationId xmlns:a16="http://schemas.microsoft.com/office/drawing/2014/main" id="{00000000-0008-0000-0400-00007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31</xdr:row>
          <xdr:rowOff>7620</xdr:rowOff>
        </xdr:from>
        <xdr:to>
          <xdr:col>4</xdr:col>
          <xdr:colOff>906780</xdr:colOff>
          <xdr:row>32</xdr:row>
          <xdr:rowOff>0</xdr:rowOff>
        </xdr:to>
        <xdr:sp macro="" textlink="">
          <xdr:nvSpPr>
            <xdr:cNvPr id="16502" name="Option Button 118" hidden="1">
              <a:extLst>
                <a:ext uri="{63B3BB69-23CF-44E3-9099-C40C66FF867C}">
                  <a14:compatExt spid="_x0000_s16502"/>
                </a:ext>
                <a:ext uri="{FF2B5EF4-FFF2-40B4-BE49-F238E27FC236}">
                  <a16:creationId xmlns:a16="http://schemas.microsoft.com/office/drawing/2014/main" id="{00000000-0008-0000-0400-00007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32</xdr:row>
          <xdr:rowOff>87630</xdr:rowOff>
        </xdr:from>
        <xdr:to>
          <xdr:col>4</xdr:col>
          <xdr:colOff>906780</xdr:colOff>
          <xdr:row>32</xdr:row>
          <xdr:rowOff>285750</xdr:rowOff>
        </xdr:to>
        <xdr:sp macro="" textlink="">
          <xdr:nvSpPr>
            <xdr:cNvPr id="16503" name="Option Button 119" hidden="1">
              <a:extLst>
                <a:ext uri="{63B3BB69-23CF-44E3-9099-C40C66FF867C}">
                  <a14:compatExt spid="_x0000_s16503"/>
                </a:ext>
                <a:ext uri="{FF2B5EF4-FFF2-40B4-BE49-F238E27FC236}">
                  <a16:creationId xmlns:a16="http://schemas.microsoft.com/office/drawing/2014/main" id="{00000000-0008-0000-0400-00007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33</xdr:row>
          <xdr:rowOff>76200</xdr:rowOff>
        </xdr:from>
        <xdr:to>
          <xdr:col>4</xdr:col>
          <xdr:colOff>895350</xdr:colOff>
          <xdr:row>33</xdr:row>
          <xdr:rowOff>285750</xdr:rowOff>
        </xdr:to>
        <xdr:sp macro="" textlink="">
          <xdr:nvSpPr>
            <xdr:cNvPr id="16504" name="Option Button 120" hidden="1">
              <a:extLst>
                <a:ext uri="{63B3BB69-23CF-44E3-9099-C40C66FF867C}">
                  <a14:compatExt spid="_x0000_s16504"/>
                </a:ext>
                <a:ext uri="{FF2B5EF4-FFF2-40B4-BE49-F238E27FC236}">
                  <a16:creationId xmlns:a16="http://schemas.microsoft.com/office/drawing/2014/main" id="{00000000-0008-0000-0400-00007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34</xdr:row>
          <xdr:rowOff>76200</xdr:rowOff>
        </xdr:from>
        <xdr:to>
          <xdr:col>4</xdr:col>
          <xdr:colOff>895350</xdr:colOff>
          <xdr:row>34</xdr:row>
          <xdr:rowOff>285750</xdr:rowOff>
        </xdr:to>
        <xdr:sp macro="" textlink="">
          <xdr:nvSpPr>
            <xdr:cNvPr id="16505" name="Option Button 121" hidden="1">
              <a:extLst>
                <a:ext uri="{63B3BB69-23CF-44E3-9099-C40C66FF867C}">
                  <a14:compatExt spid="_x0000_s16505"/>
                </a:ext>
                <a:ext uri="{FF2B5EF4-FFF2-40B4-BE49-F238E27FC236}">
                  <a16:creationId xmlns:a16="http://schemas.microsoft.com/office/drawing/2014/main" id="{00000000-0008-0000-0400-00007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35</xdr:row>
          <xdr:rowOff>68580</xdr:rowOff>
        </xdr:from>
        <xdr:to>
          <xdr:col>4</xdr:col>
          <xdr:colOff>906780</xdr:colOff>
          <xdr:row>35</xdr:row>
          <xdr:rowOff>278130</xdr:rowOff>
        </xdr:to>
        <xdr:sp macro="" textlink="">
          <xdr:nvSpPr>
            <xdr:cNvPr id="16506" name="Option Button 122" hidden="1">
              <a:extLst>
                <a:ext uri="{63B3BB69-23CF-44E3-9099-C40C66FF867C}">
                  <a14:compatExt spid="_x0000_s16506"/>
                </a:ext>
                <a:ext uri="{FF2B5EF4-FFF2-40B4-BE49-F238E27FC236}">
                  <a16:creationId xmlns:a16="http://schemas.microsoft.com/office/drawing/2014/main" id="{00000000-0008-0000-0400-00007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36</xdr:row>
          <xdr:rowOff>114300</xdr:rowOff>
        </xdr:from>
        <xdr:to>
          <xdr:col>4</xdr:col>
          <xdr:colOff>1436370</xdr:colOff>
          <xdr:row>40</xdr:row>
          <xdr:rowOff>125730</xdr:rowOff>
        </xdr:to>
        <xdr:sp macro="" textlink="">
          <xdr:nvSpPr>
            <xdr:cNvPr id="16507" name="Group Box 123" hidden="1">
              <a:extLst>
                <a:ext uri="{63B3BB69-23CF-44E3-9099-C40C66FF867C}">
                  <a14:compatExt spid="_x0000_s16507"/>
                </a:ext>
                <a:ext uri="{FF2B5EF4-FFF2-40B4-BE49-F238E27FC236}">
                  <a16:creationId xmlns:a16="http://schemas.microsoft.com/office/drawing/2014/main" id="{00000000-0008-0000-0400-00007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37</xdr:row>
          <xdr:rowOff>0</xdr:rowOff>
        </xdr:from>
        <xdr:to>
          <xdr:col>4</xdr:col>
          <xdr:colOff>887730</xdr:colOff>
          <xdr:row>38</xdr:row>
          <xdr:rowOff>0</xdr:rowOff>
        </xdr:to>
        <xdr:sp macro="" textlink="">
          <xdr:nvSpPr>
            <xdr:cNvPr id="16508" name="Option Button 124" hidden="1">
              <a:extLst>
                <a:ext uri="{63B3BB69-23CF-44E3-9099-C40C66FF867C}">
                  <a14:compatExt spid="_x0000_s16508"/>
                </a:ext>
                <a:ext uri="{FF2B5EF4-FFF2-40B4-BE49-F238E27FC236}">
                  <a16:creationId xmlns:a16="http://schemas.microsoft.com/office/drawing/2014/main" id="{00000000-0008-0000-0400-00007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38</xdr:row>
          <xdr:rowOff>0</xdr:rowOff>
        </xdr:from>
        <xdr:to>
          <xdr:col>4</xdr:col>
          <xdr:colOff>887730</xdr:colOff>
          <xdr:row>39</xdr:row>
          <xdr:rowOff>0</xdr:rowOff>
        </xdr:to>
        <xdr:sp macro="" textlink="">
          <xdr:nvSpPr>
            <xdr:cNvPr id="16509" name="Option Button 125" hidden="1">
              <a:extLst>
                <a:ext uri="{63B3BB69-23CF-44E3-9099-C40C66FF867C}">
                  <a14:compatExt spid="_x0000_s16509"/>
                </a:ext>
                <a:ext uri="{FF2B5EF4-FFF2-40B4-BE49-F238E27FC236}">
                  <a16:creationId xmlns:a16="http://schemas.microsoft.com/office/drawing/2014/main" id="{00000000-0008-0000-0400-00007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38</xdr:row>
          <xdr:rowOff>179070</xdr:rowOff>
        </xdr:from>
        <xdr:to>
          <xdr:col>4</xdr:col>
          <xdr:colOff>887730</xdr:colOff>
          <xdr:row>40</xdr:row>
          <xdr:rowOff>0</xdr:rowOff>
        </xdr:to>
        <xdr:sp macro="" textlink="">
          <xdr:nvSpPr>
            <xdr:cNvPr id="16510" name="Option Button 126" hidden="1">
              <a:extLst>
                <a:ext uri="{63B3BB69-23CF-44E3-9099-C40C66FF867C}">
                  <a14:compatExt spid="_x0000_s16510"/>
                </a:ext>
                <a:ext uri="{FF2B5EF4-FFF2-40B4-BE49-F238E27FC236}">
                  <a16:creationId xmlns:a16="http://schemas.microsoft.com/office/drawing/2014/main" id="{00000000-0008-0000-0400-00007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40</xdr:row>
          <xdr:rowOff>228600</xdr:rowOff>
        </xdr:from>
        <xdr:to>
          <xdr:col>4</xdr:col>
          <xdr:colOff>1436370</xdr:colOff>
          <xdr:row>45</xdr:row>
          <xdr:rowOff>68580</xdr:rowOff>
        </xdr:to>
        <xdr:sp macro="" textlink="">
          <xdr:nvSpPr>
            <xdr:cNvPr id="16511" name="Group Box 127" hidden="1">
              <a:extLst>
                <a:ext uri="{63B3BB69-23CF-44E3-9099-C40C66FF867C}">
                  <a14:compatExt spid="_x0000_s16511"/>
                </a:ext>
                <a:ext uri="{FF2B5EF4-FFF2-40B4-BE49-F238E27FC236}">
                  <a16:creationId xmlns:a16="http://schemas.microsoft.com/office/drawing/2014/main" id="{00000000-0008-0000-0400-00007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41</xdr:row>
          <xdr:rowOff>0</xdr:rowOff>
        </xdr:from>
        <xdr:to>
          <xdr:col>4</xdr:col>
          <xdr:colOff>906780</xdr:colOff>
          <xdr:row>42</xdr:row>
          <xdr:rowOff>0</xdr:rowOff>
        </xdr:to>
        <xdr:sp macro="" textlink="">
          <xdr:nvSpPr>
            <xdr:cNvPr id="16512" name="Option Button 128" hidden="1">
              <a:extLst>
                <a:ext uri="{63B3BB69-23CF-44E3-9099-C40C66FF867C}">
                  <a14:compatExt spid="_x0000_s16512"/>
                </a:ext>
                <a:ext uri="{FF2B5EF4-FFF2-40B4-BE49-F238E27FC236}">
                  <a16:creationId xmlns:a16="http://schemas.microsoft.com/office/drawing/2014/main" id="{00000000-0008-0000-0400-00008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42</xdr:row>
          <xdr:rowOff>11430</xdr:rowOff>
        </xdr:from>
        <xdr:to>
          <xdr:col>4</xdr:col>
          <xdr:colOff>906780</xdr:colOff>
          <xdr:row>43</xdr:row>
          <xdr:rowOff>0</xdr:rowOff>
        </xdr:to>
        <xdr:sp macro="" textlink="">
          <xdr:nvSpPr>
            <xdr:cNvPr id="16513" name="Option Button 129" hidden="1">
              <a:extLst>
                <a:ext uri="{63B3BB69-23CF-44E3-9099-C40C66FF867C}">
                  <a14:compatExt spid="_x0000_s16513"/>
                </a:ext>
                <a:ext uri="{FF2B5EF4-FFF2-40B4-BE49-F238E27FC236}">
                  <a16:creationId xmlns:a16="http://schemas.microsoft.com/office/drawing/2014/main" id="{00000000-0008-0000-0400-00008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43</xdr:row>
          <xdr:rowOff>0</xdr:rowOff>
        </xdr:from>
        <xdr:to>
          <xdr:col>4</xdr:col>
          <xdr:colOff>906780</xdr:colOff>
          <xdr:row>44</xdr:row>
          <xdr:rowOff>0</xdr:rowOff>
        </xdr:to>
        <xdr:sp macro="" textlink="">
          <xdr:nvSpPr>
            <xdr:cNvPr id="16514" name="Option Button 130" hidden="1">
              <a:extLst>
                <a:ext uri="{63B3BB69-23CF-44E3-9099-C40C66FF867C}">
                  <a14:compatExt spid="_x0000_s16514"/>
                </a:ext>
                <a:ext uri="{FF2B5EF4-FFF2-40B4-BE49-F238E27FC236}">
                  <a16:creationId xmlns:a16="http://schemas.microsoft.com/office/drawing/2014/main" id="{00000000-0008-0000-0400-00008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44</xdr:row>
          <xdr:rowOff>0</xdr:rowOff>
        </xdr:from>
        <xdr:to>
          <xdr:col>4</xdr:col>
          <xdr:colOff>906780</xdr:colOff>
          <xdr:row>45</xdr:row>
          <xdr:rowOff>0</xdr:rowOff>
        </xdr:to>
        <xdr:sp macro="" textlink="">
          <xdr:nvSpPr>
            <xdr:cNvPr id="16515" name="Option Button 131" hidden="1">
              <a:extLst>
                <a:ext uri="{63B3BB69-23CF-44E3-9099-C40C66FF867C}">
                  <a14:compatExt spid="_x0000_s16515"/>
                </a:ext>
                <a:ext uri="{FF2B5EF4-FFF2-40B4-BE49-F238E27FC236}">
                  <a16:creationId xmlns:a16="http://schemas.microsoft.com/office/drawing/2014/main" id="{00000000-0008-0000-0400-00008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45</xdr:row>
          <xdr:rowOff>125730</xdr:rowOff>
        </xdr:from>
        <xdr:to>
          <xdr:col>4</xdr:col>
          <xdr:colOff>1436370</xdr:colOff>
          <xdr:row>49</xdr:row>
          <xdr:rowOff>106680</xdr:rowOff>
        </xdr:to>
        <xdr:sp macro="" textlink="">
          <xdr:nvSpPr>
            <xdr:cNvPr id="16516" name="Group Box 132" hidden="1">
              <a:extLst>
                <a:ext uri="{63B3BB69-23CF-44E3-9099-C40C66FF867C}">
                  <a14:compatExt spid="_x0000_s16516"/>
                </a:ext>
                <a:ext uri="{FF2B5EF4-FFF2-40B4-BE49-F238E27FC236}">
                  <a16:creationId xmlns:a16="http://schemas.microsoft.com/office/drawing/2014/main" id="{00000000-0008-0000-0400-00008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132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46</xdr:row>
          <xdr:rowOff>11430</xdr:rowOff>
        </xdr:from>
        <xdr:to>
          <xdr:col>4</xdr:col>
          <xdr:colOff>906780</xdr:colOff>
          <xdr:row>47</xdr:row>
          <xdr:rowOff>0</xdr:rowOff>
        </xdr:to>
        <xdr:sp macro="" textlink="">
          <xdr:nvSpPr>
            <xdr:cNvPr id="16517" name="Option Button 133" hidden="1">
              <a:extLst>
                <a:ext uri="{63B3BB69-23CF-44E3-9099-C40C66FF867C}">
                  <a14:compatExt spid="_x0000_s16517"/>
                </a:ext>
                <a:ext uri="{FF2B5EF4-FFF2-40B4-BE49-F238E27FC236}">
                  <a16:creationId xmlns:a16="http://schemas.microsoft.com/office/drawing/2014/main" id="{00000000-0008-0000-0400-00008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47</xdr:row>
          <xdr:rowOff>0</xdr:rowOff>
        </xdr:from>
        <xdr:to>
          <xdr:col>4</xdr:col>
          <xdr:colOff>906780</xdr:colOff>
          <xdr:row>48</xdr:row>
          <xdr:rowOff>0</xdr:rowOff>
        </xdr:to>
        <xdr:sp macro="" textlink="">
          <xdr:nvSpPr>
            <xdr:cNvPr id="16518" name="Option Button 134" hidden="1">
              <a:extLst>
                <a:ext uri="{63B3BB69-23CF-44E3-9099-C40C66FF867C}">
                  <a14:compatExt spid="_x0000_s16518"/>
                </a:ext>
                <a:ext uri="{FF2B5EF4-FFF2-40B4-BE49-F238E27FC236}">
                  <a16:creationId xmlns:a16="http://schemas.microsoft.com/office/drawing/2014/main" id="{00000000-0008-0000-0400-00008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48</xdr:row>
          <xdr:rowOff>0</xdr:rowOff>
        </xdr:from>
        <xdr:to>
          <xdr:col>4</xdr:col>
          <xdr:colOff>906780</xdr:colOff>
          <xdr:row>49</xdr:row>
          <xdr:rowOff>0</xdr:rowOff>
        </xdr:to>
        <xdr:sp macro="" textlink="">
          <xdr:nvSpPr>
            <xdr:cNvPr id="16519" name="Option Button 135" hidden="1">
              <a:extLst>
                <a:ext uri="{63B3BB69-23CF-44E3-9099-C40C66FF867C}">
                  <a14:compatExt spid="_x0000_s16519"/>
                </a:ext>
                <a:ext uri="{FF2B5EF4-FFF2-40B4-BE49-F238E27FC236}">
                  <a16:creationId xmlns:a16="http://schemas.microsoft.com/office/drawing/2014/main" id="{00000000-0008-0000-0400-00008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50</xdr:row>
          <xdr:rowOff>125730</xdr:rowOff>
        </xdr:from>
        <xdr:to>
          <xdr:col>4</xdr:col>
          <xdr:colOff>1436370</xdr:colOff>
          <xdr:row>53</xdr:row>
          <xdr:rowOff>38100</xdr:rowOff>
        </xdr:to>
        <xdr:sp macro="" textlink="">
          <xdr:nvSpPr>
            <xdr:cNvPr id="16520" name="Group Box 136" hidden="1">
              <a:extLst>
                <a:ext uri="{63B3BB69-23CF-44E3-9099-C40C66FF867C}">
                  <a14:compatExt spid="_x0000_s16520"/>
                </a:ext>
                <a:ext uri="{FF2B5EF4-FFF2-40B4-BE49-F238E27FC236}">
                  <a16:creationId xmlns:a16="http://schemas.microsoft.com/office/drawing/2014/main" id="{00000000-0008-0000-0400-00008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136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51</xdr:row>
          <xdr:rowOff>0</xdr:rowOff>
        </xdr:from>
        <xdr:to>
          <xdr:col>4</xdr:col>
          <xdr:colOff>906780</xdr:colOff>
          <xdr:row>52</xdr:row>
          <xdr:rowOff>0</xdr:rowOff>
        </xdr:to>
        <xdr:sp macro="" textlink="">
          <xdr:nvSpPr>
            <xdr:cNvPr id="16521" name="Option Button 137" hidden="1">
              <a:extLst>
                <a:ext uri="{63B3BB69-23CF-44E3-9099-C40C66FF867C}">
                  <a14:compatExt spid="_x0000_s16521"/>
                </a:ext>
                <a:ext uri="{FF2B5EF4-FFF2-40B4-BE49-F238E27FC236}">
                  <a16:creationId xmlns:a16="http://schemas.microsoft.com/office/drawing/2014/main" id="{00000000-0008-0000-0400-00008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51</xdr:row>
          <xdr:rowOff>201930</xdr:rowOff>
        </xdr:from>
        <xdr:to>
          <xdr:col>4</xdr:col>
          <xdr:colOff>906780</xdr:colOff>
          <xdr:row>53</xdr:row>
          <xdr:rowOff>0</xdr:rowOff>
        </xdr:to>
        <xdr:sp macro="" textlink="">
          <xdr:nvSpPr>
            <xdr:cNvPr id="16522" name="Option Button 138" hidden="1">
              <a:extLst>
                <a:ext uri="{63B3BB69-23CF-44E3-9099-C40C66FF867C}">
                  <a14:compatExt spid="_x0000_s16522"/>
                </a:ext>
                <a:ext uri="{FF2B5EF4-FFF2-40B4-BE49-F238E27FC236}">
                  <a16:creationId xmlns:a16="http://schemas.microsoft.com/office/drawing/2014/main" id="{00000000-0008-0000-0400-00008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106680</xdr:rowOff>
        </xdr:from>
        <xdr:to>
          <xdr:col>4</xdr:col>
          <xdr:colOff>1436370</xdr:colOff>
          <xdr:row>58</xdr:row>
          <xdr:rowOff>369570</xdr:rowOff>
        </xdr:to>
        <xdr:sp macro="" textlink="">
          <xdr:nvSpPr>
            <xdr:cNvPr id="16523" name="Group Box 139" hidden="1">
              <a:extLst>
                <a:ext uri="{63B3BB69-23CF-44E3-9099-C40C66FF867C}">
                  <a14:compatExt spid="_x0000_s16523"/>
                </a:ext>
                <a:ext uri="{FF2B5EF4-FFF2-40B4-BE49-F238E27FC236}">
                  <a16:creationId xmlns:a16="http://schemas.microsoft.com/office/drawing/2014/main" id="{00000000-0008-0000-0400-00008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54</xdr:row>
          <xdr:rowOff>316230</xdr:rowOff>
        </xdr:from>
        <xdr:to>
          <xdr:col>4</xdr:col>
          <xdr:colOff>906780</xdr:colOff>
          <xdr:row>54</xdr:row>
          <xdr:rowOff>525780</xdr:rowOff>
        </xdr:to>
        <xdr:sp macro="" textlink="">
          <xdr:nvSpPr>
            <xdr:cNvPr id="16524" name="Option Button 140" hidden="1">
              <a:extLst>
                <a:ext uri="{63B3BB69-23CF-44E3-9099-C40C66FF867C}">
                  <a14:compatExt spid="_x0000_s16524"/>
                </a:ext>
                <a:ext uri="{FF2B5EF4-FFF2-40B4-BE49-F238E27FC236}">
                  <a16:creationId xmlns:a16="http://schemas.microsoft.com/office/drawing/2014/main" id="{00000000-0008-0000-0400-00008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55</xdr:row>
          <xdr:rowOff>152400</xdr:rowOff>
        </xdr:from>
        <xdr:to>
          <xdr:col>4</xdr:col>
          <xdr:colOff>906780</xdr:colOff>
          <xdr:row>55</xdr:row>
          <xdr:rowOff>361950</xdr:rowOff>
        </xdr:to>
        <xdr:sp macro="" textlink="">
          <xdr:nvSpPr>
            <xdr:cNvPr id="16525" name="Option Button 141" hidden="1">
              <a:extLst>
                <a:ext uri="{63B3BB69-23CF-44E3-9099-C40C66FF867C}">
                  <a14:compatExt spid="_x0000_s16525"/>
                </a:ext>
                <a:ext uri="{FF2B5EF4-FFF2-40B4-BE49-F238E27FC236}">
                  <a16:creationId xmlns:a16="http://schemas.microsoft.com/office/drawing/2014/main" id="{00000000-0008-0000-0400-00008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56</xdr:row>
          <xdr:rowOff>95250</xdr:rowOff>
        </xdr:from>
        <xdr:to>
          <xdr:col>4</xdr:col>
          <xdr:colOff>906780</xdr:colOff>
          <xdr:row>56</xdr:row>
          <xdr:rowOff>316230</xdr:rowOff>
        </xdr:to>
        <xdr:sp macro="" textlink="">
          <xdr:nvSpPr>
            <xdr:cNvPr id="16527" name="Option Button 143" hidden="1">
              <a:extLst>
                <a:ext uri="{63B3BB69-23CF-44E3-9099-C40C66FF867C}">
                  <a14:compatExt spid="_x0000_s16527"/>
                </a:ext>
                <a:ext uri="{FF2B5EF4-FFF2-40B4-BE49-F238E27FC236}">
                  <a16:creationId xmlns:a16="http://schemas.microsoft.com/office/drawing/2014/main" id="{00000000-0008-0000-0400-00008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57</xdr:row>
          <xdr:rowOff>0</xdr:rowOff>
        </xdr:from>
        <xdr:to>
          <xdr:col>4</xdr:col>
          <xdr:colOff>906780</xdr:colOff>
          <xdr:row>58</xdr:row>
          <xdr:rowOff>0</xdr:rowOff>
        </xdr:to>
        <xdr:sp macro="" textlink="">
          <xdr:nvSpPr>
            <xdr:cNvPr id="16528" name="Option Button 144" hidden="1">
              <a:extLst>
                <a:ext uri="{63B3BB69-23CF-44E3-9099-C40C66FF867C}">
                  <a14:compatExt spid="_x0000_s16528"/>
                </a:ext>
                <a:ext uri="{FF2B5EF4-FFF2-40B4-BE49-F238E27FC236}">
                  <a16:creationId xmlns:a16="http://schemas.microsoft.com/office/drawing/2014/main" id="{00000000-0008-0000-0400-00009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58</xdr:row>
          <xdr:rowOff>323850</xdr:rowOff>
        </xdr:from>
        <xdr:to>
          <xdr:col>4</xdr:col>
          <xdr:colOff>1436370</xdr:colOff>
          <xdr:row>60</xdr:row>
          <xdr:rowOff>236220</xdr:rowOff>
        </xdr:to>
        <xdr:sp macro="" textlink="">
          <xdr:nvSpPr>
            <xdr:cNvPr id="16529" name="Group Box 145" hidden="1">
              <a:extLst>
                <a:ext uri="{63B3BB69-23CF-44E3-9099-C40C66FF867C}">
                  <a14:compatExt spid="_x0000_s16529"/>
                </a:ext>
                <a:ext uri="{FF2B5EF4-FFF2-40B4-BE49-F238E27FC236}">
                  <a16:creationId xmlns:a16="http://schemas.microsoft.com/office/drawing/2014/main" id="{00000000-0008-0000-0400-00009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59</xdr:row>
          <xdr:rowOff>0</xdr:rowOff>
        </xdr:from>
        <xdr:to>
          <xdr:col>4</xdr:col>
          <xdr:colOff>895350</xdr:colOff>
          <xdr:row>60</xdr:row>
          <xdr:rowOff>0</xdr:rowOff>
        </xdr:to>
        <xdr:sp macro="" textlink="">
          <xdr:nvSpPr>
            <xdr:cNvPr id="16530" name="Option Button 146" hidden="1">
              <a:extLst>
                <a:ext uri="{63B3BB69-23CF-44E3-9099-C40C66FF867C}">
                  <a14:compatExt spid="_x0000_s16530"/>
                </a:ext>
                <a:ext uri="{FF2B5EF4-FFF2-40B4-BE49-F238E27FC236}">
                  <a16:creationId xmlns:a16="http://schemas.microsoft.com/office/drawing/2014/main" id="{00000000-0008-0000-0400-00009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60</xdr:row>
          <xdr:rowOff>0</xdr:rowOff>
        </xdr:from>
        <xdr:to>
          <xdr:col>4</xdr:col>
          <xdr:colOff>895350</xdr:colOff>
          <xdr:row>60</xdr:row>
          <xdr:rowOff>198120</xdr:rowOff>
        </xdr:to>
        <xdr:sp macro="" textlink="">
          <xdr:nvSpPr>
            <xdr:cNvPr id="16531" name="Option Button 147" hidden="1">
              <a:extLst>
                <a:ext uri="{63B3BB69-23CF-44E3-9099-C40C66FF867C}">
                  <a14:compatExt spid="_x0000_s16531"/>
                </a:ext>
                <a:ext uri="{FF2B5EF4-FFF2-40B4-BE49-F238E27FC236}">
                  <a16:creationId xmlns:a16="http://schemas.microsoft.com/office/drawing/2014/main" id="{00000000-0008-0000-0400-00009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114300</xdr:rowOff>
        </xdr:from>
        <xdr:to>
          <xdr:col>4</xdr:col>
          <xdr:colOff>1436370</xdr:colOff>
          <xdr:row>64</xdr:row>
          <xdr:rowOff>335280</xdr:rowOff>
        </xdr:to>
        <xdr:sp macro="" textlink="">
          <xdr:nvSpPr>
            <xdr:cNvPr id="16532" name="Group Box 148" hidden="1">
              <a:extLst>
                <a:ext uri="{63B3BB69-23CF-44E3-9099-C40C66FF867C}">
                  <a14:compatExt spid="_x0000_s16532"/>
                </a:ext>
                <a:ext uri="{FF2B5EF4-FFF2-40B4-BE49-F238E27FC236}">
                  <a16:creationId xmlns:a16="http://schemas.microsoft.com/office/drawing/2014/main" id="{00000000-0008-0000-0400-00009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678180</xdr:colOff>
          <xdr:row>62</xdr:row>
          <xdr:rowOff>0</xdr:rowOff>
        </xdr:from>
        <xdr:to>
          <xdr:col>4</xdr:col>
          <xdr:colOff>887730</xdr:colOff>
          <xdr:row>63</xdr:row>
          <xdr:rowOff>0</xdr:rowOff>
        </xdr:to>
        <xdr:sp macro="" textlink="">
          <xdr:nvSpPr>
            <xdr:cNvPr id="16533" name="Option Button 149" hidden="1">
              <a:extLst>
                <a:ext uri="{63B3BB69-23CF-44E3-9099-C40C66FF867C}">
                  <a14:compatExt spid="_x0000_s16533"/>
                </a:ext>
                <a:ext uri="{FF2B5EF4-FFF2-40B4-BE49-F238E27FC236}">
                  <a16:creationId xmlns:a16="http://schemas.microsoft.com/office/drawing/2014/main" id="{00000000-0008-0000-0400-00009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674370</xdr:colOff>
          <xdr:row>63</xdr:row>
          <xdr:rowOff>68580</xdr:rowOff>
        </xdr:from>
        <xdr:to>
          <xdr:col>4</xdr:col>
          <xdr:colOff>906780</xdr:colOff>
          <xdr:row>63</xdr:row>
          <xdr:rowOff>297180</xdr:rowOff>
        </xdr:to>
        <xdr:sp macro="" textlink="">
          <xdr:nvSpPr>
            <xdr:cNvPr id="16534" name="Option Button 150" hidden="1">
              <a:extLst>
                <a:ext uri="{63B3BB69-23CF-44E3-9099-C40C66FF867C}">
                  <a14:compatExt spid="_x0000_s16534"/>
                </a:ext>
                <a:ext uri="{FF2B5EF4-FFF2-40B4-BE49-F238E27FC236}">
                  <a16:creationId xmlns:a16="http://schemas.microsoft.com/office/drawing/2014/main" id="{00000000-0008-0000-0400-00009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64</xdr:row>
          <xdr:rowOff>64770</xdr:rowOff>
        </xdr:from>
        <xdr:to>
          <xdr:col>4</xdr:col>
          <xdr:colOff>895350</xdr:colOff>
          <xdr:row>64</xdr:row>
          <xdr:rowOff>297180</xdr:rowOff>
        </xdr:to>
        <xdr:sp macro="" textlink="">
          <xdr:nvSpPr>
            <xdr:cNvPr id="16535" name="Option Button 151" hidden="1">
              <a:extLst>
                <a:ext uri="{63B3BB69-23CF-44E3-9099-C40C66FF867C}">
                  <a14:compatExt spid="_x0000_s16535"/>
                </a:ext>
                <a:ext uri="{FF2B5EF4-FFF2-40B4-BE49-F238E27FC236}">
                  <a16:creationId xmlns:a16="http://schemas.microsoft.com/office/drawing/2014/main" id="{00000000-0008-0000-0400-00009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7</xdr:row>
          <xdr:rowOff>87630</xdr:rowOff>
        </xdr:from>
        <xdr:to>
          <xdr:col>6</xdr:col>
          <xdr:colOff>1493520</xdr:colOff>
          <xdr:row>12</xdr:row>
          <xdr:rowOff>11430</xdr:rowOff>
        </xdr:to>
        <xdr:sp macro="" textlink="">
          <xdr:nvSpPr>
            <xdr:cNvPr id="16547" name="Group Box 163" hidden="1">
              <a:extLst>
                <a:ext uri="{63B3BB69-23CF-44E3-9099-C40C66FF867C}">
                  <a14:compatExt spid="_x0000_s16547"/>
                </a:ext>
                <a:ext uri="{FF2B5EF4-FFF2-40B4-BE49-F238E27FC236}">
                  <a16:creationId xmlns:a16="http://schemas.microsoft.com/office/drawing/2014/main" id="{00000000-0008-0000-0400-0000A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163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8</xdr:row>
          <xdr:rowOff>0</xdr:rowOff>
        </xdr:from>
        <xdr:to>
          <xdr:col>6</xdr:col>
          <xdr:colOff>925830</xdr:colOff>
          <xdr:row>9</xdr:row>
          <xdr:rowOff>0</xdr:rowOff>
        </xdr:to>
        <xdr:sp macro="" textlink="">
          <xdr:nvSpPr>
            <xdr:cNvPr id="16548" name="Option Button 164" hidden="1">
              <a:extLst>
                <a:ext uri="{63B3BB69-23CF-44E3-9099-C40C66FF867C}">
                  <a14:compatExt spid="_x0000_s16548"/>
                </a:ext>
                <a:ext uri="{FF2B5EF4-FFF2-40B4-BE49-F238E27FC236}">
                  <a16:creationId xmlns:a16="http://schemas.microsoft.com/office/drawing/2014/main" id="{00000000-0008-0000-0400-0000A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697230</xdr:colOff>
          <xdr:row>9</xdr:row>
          <xdr:rowOff>0</xdr:rowOff>
        </xdr:from>
        <xdr:to>
          <xdr:col>6</xdr:col>
          <xdr:colOff>925830</xdr:colOff>
          <xdr:row>10</xdr:row>
          <xdr:rowOff>0</xdr:rowOff>
        </xdr:to>
        <xdr:sp macro="" textlink="">
          <xdr:nvSpPr>
            <xdr:cNvPr id="16549" name="Option Button 165" hidden="1">
              <a:extLst>
                <a:ext uri="{63B3BB69-23CF-44E3-9099-C40C66FF867C}">
                  <a14:compatExt spid="_x0000_s16549"/>
                </a:ext>
                <a:ext uri="{FF2B5EF4-FFF2-40B4-BE49-F238E27FC236}">
                  <a16:creationId xmlns:a16="http://schemas.microsoft.com/office/drawing/2014/main" id="{00000000-0008-0000-0400-0000A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697230</xdr:colOff>
          <xdr:row>10</xdr:row>
          <xdr:rowOff>0</xdr:rowOff>
        </xdr:from>
        <xdr:to>
          <xdr:col>6</xdr:col>
          <xdr:colOff>925830</xdr:colOff>
          <xdr:row>11</xdr:row>
          <xdr:rowOff>0</xdr:rowOff>
        </xdr:to>
        <xdr:sp macro="" textlink="">
          <xdr:nvSpPr>
            <xdr:cNvPr id="16550" name="Option Button 166" hidden="1">
              <a:extLst>
                <a:ext uri="{63B3BB69-23CF-44E3-9099-C40C66FF867C}">
                  <a14:compatExt spid="_x0000_s16550"/>
                </a:ext>
                <a:ext uri="{FF2B5EF4-FFF2-40B4-BE49-F238E27FC236}">
                  <a16:creationId xmlns:a16="http://schemas.microsoft.com/office/drawing/2014/main" id="{00000000-0008-0000-0400-0000A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697230</xdr:colOff>
          <xdr:row>11</xdr:row>
          <xdr:rowOff>236220</xdr:rowOff>
        </xdr:from>
        <xdr:to>
          <xdr:col>6</xdr:col>
          <xdr:colOff>914400</xdr:colOff>
          <xdr:row>11</xdr:row>
          <xdr:rowOff>430530</xdr:rowOff>
        </xdr:to>
        <xdr:sp macro="" textlink="">
          <xdr:nvSpPr>
            <xdr:cNvPr id="16551" name="Option Button 167" hidden="1">
              <a:extLst>
                <a:ext uri="{63B3BB69-23CF-44E3-9099-C40C66FF867C}">
                  <a14:compatExt spid="_x0000_s16551"/>
                </a:ext>
                <a:ext uri="{FF2B5EF4-FFF2-40B4-BE49-F238E27FC236}">
                  <a16:creationId xmlns:a16="http://schemas.microsoft.com/office/drawing/2014/main" id="{00000000-0008-0000-0400-0000A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12</xdr:row>
          <xdr:rowOff>83820</xdr:rowOff>
        </xdr:from>
        <xdr:to>
          <xdr:col>6</xdr:col>
          <xdr:colOff>1504950</xdr:colOff>
          <xdr:row>17</xdr:row>
          <xdr:rowOff>57150</xdr:rowOff>
        </xdr:to>
        <xdr:sp macro="" textlink="">
          <xdr:nvSpPr>
            <xdr:cNvPr id="16552" name="Group Box 168" hidden="1">
              <a:extLst>
                <a:ext uri="{63B3BB69-23CF-44E3-9099-C40C66FF867C}">
                  <a14:compatExt spid="_x0000_s16552"/>
                </a:ext>
                <a:ext uri="{FF2B5EF4-FFF2-40B4-BE49-F238E27FC236}">
                  <a16:creationId xmlns:a16="http://schemas.microsoft.com/office/drawing/2014/main" id="{00000000-0008-0000-0400-0000A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13</xdr:row>
          <xdr:rowOff>0</xdr:rowOff>
        </xdr:from>
        <xdr:to>
          <xdr:col>6</xdr:col>
          <xdr:colOff>906780</xdr:colOff>
          <xdr:row>14</xdr:row>
          <xdr:rowOff>0</xdr:rowOff>
        </xdr:to>
        <xdr:sp macro="" textlink="">
          <xdr:nvSpPr>
            <xdr:cNvPr id="16553" name="Option Button 169" hidden="1">
              <a:extLst>
                <a:ext uri="{63B3BB69-23CF-44E3-9099-C40C66FF867C}">
                  <a14:compatExt spid="_x0000_s16553"/>
                </a:ext>
                <a:ext uri="{FF2B5EF4-FFF2-40B4-BE49-F238E27FC236}">
                  <a16:creationId xmlns:a16="http://schemas.microsoft.com/office/drawing/2014/main" id="{00000000-0008-0000-0400-0000A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13</xdr:row>
          <xdr:rowOff>179070</xdr:rowOff>
        </xdr:from>
        <xdr:to>
          <xdr:col>6</xdr:col>
          <xdr:colOff>906780</xdr:colOff>
          <xdr:row>15</xdr:row>
          <xdr:rowOff>0</xdr:rowOff>
        </xdr:to>
        <xdr:sp macro="" textlink="">
          <xdr:nvSpPr>
            <xdr:cNvPr id="16562" name="Option Button 178" hidden="1">
              <a:extLst>
                <a:ext uri="{63B3BB69-23CF-44E3-9099-C40C66FF867C}">
                  <a14:compatExt spid="_x0000_s16562"/>
                </a:ext>
                <a:ext uri="{FF2B5EF4-FFF2-40B4-BE49-F238E27FC236}">
                  <a16:creationId xmlns:a16="http://schemas.microsoft.com/office/drawing/2014/main" id="{00000000-0008-0000-0400-0000B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15</xdr:row>
          <xdr:rowOff>171450</xdr:rowOff>
        </xdr:from>
        <xdr:to>
          <xdr:col>6</xdr:col>
          <xdr:colOff>906780</xdr:colOff>
          <xdr:row>15</xdr:row>
          <xdr:rowOff>354330</xdr:rowOff>
        </xdr:to>
        <xdr:sp macro="" textlink="">
          <xdr:nvSpPr>
            <xdr:cNvPr id="16563" name="Option Button 179" hidden="1">
              <a:extLst>
                <a:ext uri="{63B3BB69-23CF-44E3-9099-C40C66FF867C}">
                  <a14:compatExt spid="_x0000_s16563"/>
                </a:ext>
                <a:ext uri="{FF2B5EF4-FFF2-40B4-BE49-F238E27FC236}">
                  <a16:creationId xmlns:a16="http://schemas.microsoft.com/office/drawing/2014/main" id="{00000000-0008-0000-0400-0000B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16</xdr:row>
          <xdr:rowOff>0</xdr:rowOff>
        </xdr:from>
        <xdr:to>
          <xdr:col>6</xdr:col>
          <xdr:colOff>906780</xdr:colOff>
          <xdr:row>17</xdr:row>
          <xdr:rowOff>0</xdr:rowOff>
        </xdr:to>
        <xdr:sp macro="" textlink="">
          <xdr:nvSpPr>
            <xdr:cNvPr id="16564" name="Option Button 180" hidden="1">
              <a:extLst>
                <a:ext uri="{63B3BB69-23CF-44E3-9099-C40C66FF867C}">
                  <a14:compatExt spid="_x0000_s16564"/>
                </a:ext>
                <a:ext uri="{FF2B5EF4-FFF2-40B4-BE49-F238E27FC236}">
                  <a16:creationId xmlns:a16="http://schemas.microsoft.com/office/drawing/2014/main" id="{00000000-0008-0000-0400-0000B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17</xdr:row>
          <xdr:rowOff>87630</xdr:rowOff>
        </xdr:from>
        <xdr:to>
          <xdr:col>6</xdr:col>
          <xdr:colOff>1466850</xdr:colOff>
          <xdr:row>22</xdr:row>
          <xdr:rowOff>38100</xdr:rowOff>
        </xdr:to>
        <xdr:sp macro="" textlink="">
          <xdr:nvSpPr>
            <xdr:cNvPr id="16565" name="Group Box 181" hidden="1">
              <a:extLst>
                <a:ext uri="{63B3BB69-23CF-44E3-9099-C40C66FF867C}">
                  <a14:compatExt spid="_x0000_s16565"/>
                </a:ext>
                <a:ext uri="{FF2B5EF4-FFF2-40B4-BE49-F238E27FC236}">
                  <a16:creationId xmlns:a16="http://schemas.microsoft.com/office/drawing/2014/main" id="{00000000-0008-0000-0400-0000B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18</xdr:row>
          <xdr:rowOff>0</xdr:rowOff>
        </xdr:from>
        <xdr:to>
          <xdr:col>6</xdr:col>
          <xdr:colOff>914400</xdr:colOff>
          <xdr:row>19</xdr:row>
          <xdr:rowOff>0</xdr:rowOff>
        </xdr:to>
        <xdr:sp macro="" textlink="">
          <xdr:nvSpPr>
            <xdr:cNvPr id="16566" name="Option Button 182" hidden="1">
              <a:extLst>
                <a:ext uri="{63B3BB69-23CF-44E3-9099-C40C66FF867C}">
                  <a14:compatExt spid="_x0000_s16566"/>
                </a:ext>
                <a:ext uri="{FF2B5EF4-FFF2-40B4-BE49-F238E27FC236}">
                  <a16:creationId xmlns:a16="http://schemas.microsoft.com/office/drawing/2014/main" id="{00000000-0008-0000-0400-0000B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19</xdr:row>
          <xdr:rowOff>11430</xdr:rowOff>
        </xdr:from>
        <xdr:to>
          <xdr:col>6</xdr:col>
          <xdr:colOff>914400</xdr:colOff>
          <xdr:row>20</xdr:row>
          <xdr:rowOff>0</xdr:rowOff>
        </xdr:to>
        <xdr:sp macro="" textlink="">
          <xdr:nvSpPr>
            <xdr:cNvPr id="16567" name="Option Button 183" hidden="1">
              <a:extLst>
                <a:ext uri="{63B3BB69-23CF-44E3-9099-C40C66FF867C}">
                  <a14:compatExt spid="_x0000_s16567"/>
                </a:ext>
                <a:ext uri="{FF2B5EF4-FFF2-40B4-BE49-F238E27FC236}">
                  <a16:creationId xmlns:a16="http://schemas.microsoft.com/office/drawing/2014/main" id="{00000000-0008-0000-0400-0000B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20</xdr:row>
          <xdr:rowOff>0</xdr:rowOff>
        </xdr:from>
        <xdr:to>
          <xdr:col>6</xdr:col>
          <xdr:colOff>914400</xdr:colOff>
          <xdr:row>21</xdr:row>
          <xdr:rowOff>0</xdr:rowOff>
        </xdr:to>
        <xdr:sp macro="" textlink="">
          <xdr:nvSpPr>
            <xdr:cNvPr id="16568" name="Option Button 184" hidden="1">
              <a:extLst>
                <a:ext uri="{63B3BB69-23CF-44E3-9099-C40C66FF867C}">
                  <a14:compatExt spid="_x0000_s16568"/>
                </a:ext>
                <a:ext uri="{FF2B5EF4-FFF2-40B4-BE49-F238E27FC236}">
                  <a16:creationId xmlns:a16="http://schemas.microsoft.com/office/drawing/2014/main" id="{00000000-0008-0000-0400-0000B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21</xdr:row>
          <xdr:rowOff>0</xdr:rowOff>
        </xdr:from>
        <xdr:to>
          <xdr:col>6</xdr:col>
          <xdr:colOff>914400</xdr:colOff>
          <xdr:row>22</xdr:row>
          <xdr:rowOff>0</xdr:rowOff>
        </xdr:to>
        <xdr:sp macro="" textlink="">
          <xdr:nvSpPr>
            <xdr:cNvPr id="16569" name="Option Button 185" hidden="1">
              <a:extLst>
                <a:ext uri="{63B3BB69-23CF-44E3-9099-C40C66FF867C}">
                  <a14:compatExt spid="_x0000_s16569"/>
                </a:ext>
                <a:ext uri="{FF2B5EF4-FFF2-40B4-BE49-F238E27FC236}">
                  <a16:creationId xmlns:a16="http://schemas.microsoft.com/office/drawing/2014/main" id="{00000000-0008-0000-0400-0000B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163830</xdr:colOff>
          <xdr:row>22</xdr:row>
          <xdr:rowOff>102870</xdr:rowOff>
        </xdr:from>
        <xdr:to>
          <xdr:col>6</xdr:col>
          <xdr:colOff>1474470</xdr:colOff>
          <xdr:row>26</xdr:row>
          <xdr:rowOff>106680</xdr:rowOff>
        </xdr:to>
        <xdr:sp macro="" textlink="">
          <xdr:nvSpPr>
            <xdr:cNvPr id="16570" name="Group Box 186" hidden="1">
              <a:extLst>
                <a:ext uri="{63B3BB69-23CF-44E3-9099-C40C66FF867C}">
                  <a14:compatExt spid="_x0000_s16570"/>
                </a:ext>
                <a:ext uri="{FF2B5EF4-FFF2-40B4-BE49-F238E27FC236}">
                  <a16:creationId xmlns:a16="http://schemas.microsoft.com/office/drawing/2014/main" id="{00000000-0008-0000-0400-0000B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23</xdr:row>
          <xdr:rowOff>7620</xdr:rowOff>
        </xdr:from>
        <xdr:to>
          <xdr:col>6</xdr:col>
          <xdr:colOff>906780</xdr:colOff>
          <xdr:row>24</xdr:row>
          <xdr:rowOff>0</xdr:rowOff>
        </xdr:to>
        <xdr:sp macro="" textlink="">
          <xdr:nvSpPr>
            <xdr:cNvPr id="16571" name="Option Button 187" hidden="1">
              <a:extLst>
                <a:ext uri="{63B3BB69-23CF-44E3-9099-C40C66FF867C}">
                  <a14:compatExt spid="_x0000_s16571"/>
                </a:ext>
                <a:ext uri="{FF2B5EF4-FFF2-40B4-BE49-F238E27FC236}">
                  <a16:creationId xmlns:a16="http://schemas.microsoft.com/office/drawing/2014/main" id="{00000000-0008-0000-0400-0000B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24</xdr:row>
          <xdr:rowOff>7620</xdr:rowOff>
        </xdr:from>
        <xdr:to>
          <xdr:col>6</xdr:col>
          <xdr:colOff>906780</xdr:colOff>
          <xdr:row>25</xdr:row>
          <xdr:rowOff>0</xdr:rowOff>
        </xdr:to>
        <xdr:sp macro="" textlink="">
          <xdr:nvSpPr>
            <xdr:cNvPr id="16572" name="Option Button 188" hidden="1">
              <a:extLst>
                <a:ext uri="{63B3BB69-23CF-44E3-9099-C40C66FF867C}">
                  <a14:compatExt spid="_x0000_s16572"/>
                </a:ext>
                <a:ext uri="{FF2B5EF4-FFF2-40B4-BE49-F238E27FC236}">
                  <a16:creationId xmlns:a16="http://schemas.microsoft.com/office/drawing/2014/main" id="{00000000-0008-0000-0400-0000B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25</xdr:row>
          <xdr:rowOff>7620</xdr:rowOff>
        </xdr:from>
        <xdr:to>
          <xdr:col>6</xdr:col>
          <xdr:colOff>906780</xdr:colOff>
          <xdr:row>26</xdr:row>
          <xdr:rowOff>0</xdr:rowOff>
        </xdr:to>
        <xdr:sp macro="" textlink="">
          <xdr:nvSpPr>
            <xdr:cNvPr id="16573" name="Option Button 189" hidden="1">
              <a:extLst>
                <a:ext uri="{63B3BB69-23CF-44E3-9099-C40C66FF867C}">
                  <a14:compatExt spid="_x0000_s16573"/>
                </a:ext>
                <a:ext uri="{FF2B5EF4-FFF2-40B4-BE49-F238E27FC236}">
                  <a16:creationId xmlns:a16="http://schemas.microsoft.com/office/drawing/2014/main" id="{00000000-0008-0000-0400-0000B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106680</xdr:colOff>
          <xdr:row>26</xdr:row>
          <xdr:rowOff>228600</xdr:rowOff>
        </xdr:from>
        <xdr:to>
          <xdr:col>6</xdr:col>
          <xdr:colOff>1504950</xdr:colOff>
          <xdr:row>30</xdr:row>
          <xdr:rowOff>49530</xdr:rowOff>
        </xdr:to>
        <xdr:sp macro="" textlink="">
          <xdr:nvSpPr>
            <xdr:cNvPr id="16574" name="Group Box 190" hidden="1">
              <a:extLst>
                <a:ext uri="{63B3BB69-23CF-44E3-9099-C40C66FF867C}">
                  <a14:compatExt spid="_x0000_s16574"/>
                </a:ext>
                <a:ext uri="{FF2B5EF4-FFF2-40B4-BE49-F238E27FC236}">
                  <a16:creationId xmlns:a16="http://schemas.microsoft.com/office/drawing/2014/main" id="{00000000-0008-0000-0400-0000BE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27</xdr:row>
          <xdr:rowOff>7620</xdr:rowOff>
        </xdr:from>
        <xdr:to>
          <xdr:col>6</xdr:col>
          <xdr:colOff>906780</xdr:colOff>
          <xdr:row>28</xdr:row>
          <xdr:rowOff>0</xdr:rowOff>
        </xdr:to>
        <xdr:sp macro="" textlink="">
          <xdr:nvSpPr>
            <xdr:cNvPr id="16575" name="Option Button 191" hidden="1">
              <a:extLst>
                <a:ext uri="{63B3BB69-23CF-44E3-9099-C40C66FF867C}">
                  <a14:compatExt spid="_x0000_s16575"/>
                </a:ext>
                <a:ext uri="{FF2B5EF4-FFF2-40B4-BE49-F238E27FC236}">
                  <a16:creationId xmlns:a16="http://schemas.microsoft.com/office/drawing/2014/main" id="{00000000-0008-0000-0400-0000B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28</xdr:row>
          <xdr:rowOff>7620</xdr:rowOff>
        </xdr:from>
        <xdr:to>
          <xdr:col>6</xdr:col>
          <xdr:colOff>906780</xdr:colOff>
          <xdr:row>29</xdr:row>
          <xdr:rowOff>0</xdr:rowOff>
        </xdr:to>
        <xdr:sp macro="" textlink="">
          <xdr:nvSpPr>
            <xdr:cNvPr id="16576" name="Option Button 192" hidden="1">
              <a:extLst>
                <a:ext uri="{63B3BB69-23CF-44E3-9099-C40C66FF867C}">
                  <a14:compatExt spid="_x0000_s16576"/>
                </a:ext>
                <a:ext uri="{FF2B5EF4-FFF2-40B4-BE49-F238E27FC236}">
                  <a16:creationId xmlns:a16="http://schemas.microsoft.com/office/drawing/2014/main" id="{00000000-0008-0000-0400-0000C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28</xdr:row>
          <xdr:rowOff>182880</xdr:rowOff>
        </xdr:from>
        <xdr:to>
          <xdr:col>6</xdr:col>
          <xdr:colOff>906780</xdr:colOff>
          <xdr:row>30</xdr:row>
          <xdr:rowOff>0</xdr:rowOff>
        </xdr:to>
        <xdr:sp macro="" textlink="">
          <xdr:nvSpPr>
            <xdr:cNvPr id="16578" name="Option Button 194" hidden="1">
              <a:extLst>
                <a:ext uri="{63B3BB69-23CF-44E3-9099-C40C66FF867C}">
                  <a14:compatExt spid="_x0000_s16578"/>
                </a:ext>
                <a:ext uri="{FF2B5EF4-FFF2-40B4-BE49-F238E27FC236}">
                  <a16:creationId xmlns:a16="http://schemas.microsoft.com/office/drawing/2014/main" id="{00000000-0008-0000-0400-0000C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30</xdr:row>
          <xdr:rowOff>106680</xdr:rowOff>
        </xdr:from>
        <xdr:to>
          <xdr:col>7</xdr:col>
          <xdr:colOff>30480</xdr:colOff>
          <xdr:row>36</xdr:row>
          <xdr:rowOff>30480</xdr:rowOff>
        </xdr:to>
        <xdr:sp macro="" textlink="">
          <xdr:nvSpPr>
            <xdr:cNvPr id="16579" name="Group Box 195" hidden="1">
              <a:extLst>
                <a:ext uri="{63B3BB69-23CF-44E3-9099-C40C66FF867C}">
                  <a14:compatExt spid="_x0000_s16579"/>
                </a:ext>
                <a:ext uri="{FF2B5EF4-FFF2-40B4-BE49-F238E27FC236}">
                  <a16:creationId xmlns:a16="http://schemas.microsoft.com/office/drawing/2014/main" id="{00000000-0008-0000-0400-0000C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31</xdr:row>
          <xdr:rowOff>7620</xdr:rowOff>
        </xdr:from>
        <xdr:to>
          <xdr:col>6</xdr:col>
          <xdr:colOff>906780</xdr:colOff>
          <xdr:row>32</xdr:row>
          <xdr:rowOff>0</xdr:rowOff>
        </xdr:to>
        <xdr:sp macro="" textlink="">
          <xdr:nvSpPr>
            <xdr:cNvPr id="16581" name="Option Button 197" hidden="1">
              <a:extLst>
                <a:ext uri="{63B3BB69-23CF-44E3-9099-C40C66FF867C}">
                  <a14:compatExt spid="_x0000_s16581"/>
                </a:ext>
                <a:ext uri="{FF2B5EF4-FFF2-40B4-BE49-F238E27FC236}">
                  <a16:creationId xmlns:a16="http://schemas.microsoft.com/office/drawing/2014/main" id="{00000000-0008-0000-0400-0000C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32</xdr:row>
          <xdr:rowOff>76200</xdr:rowOff>
        </xdr:from>
        <xdr:to>
          <xdr:col>6</xdr:col>
          <xdr:colOff>906780</xdr:colOff>
          <xdr:row>32</xdr:row>
          <xdr:rowOff>297180</xdr:rowOff>
        </xdr:to>
        <xdr:sp macro="" textlink="">
          <xdr:nvSpPr>
            <xdr:cNvPr id="16587" name="Option Button 203" hidden="1">
              <a:extLst>
                <a:ext uri="{63B3BB69-23CF-44E3-9099-C40C66FF867C}">
                  <a14:compatExt spid="_x0000_s16587"/>
                </a:ext>
                <a:ext uri="{FF2B5EF4-FFF2-40B4-BE49-F238E27FC236}">
                  <a16:creationId xmlns:a16="http://schemas.microsoft.com/office/drawing/2014/main" id="{00000000-0008-0000-0400-0000C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33</xdr:row>
          <xdr:rowOff>64770</xdr:rowOff>
        </xdr:from>
        <xdr:to>
          <xdr:col>6</xdr:col>
          <xdr:colOff>906780</xdr:colOff>
          <xdr:row>33</xdr:row>
          <xdr:rowOff>297180</xdr:rowOff>
        </xdr:to>
        <xdr:sp macro="" textlink="">
          <xdr:nvSpPr>
            <xdr:cNvPr id="16588" name="Option Button 204" hidden="1">
              <a:extLst>
                <a:ext uri="{63B3BB69-23CF-44E3-9099-C40C66FF867C}">
                  <a14:compatExt spid="_x0000_s16588"/>
                </a:ext>
                <a:ext uri="{FF2B5EF4-FFF2-40B4-BE49-F238E27FC236}">
                  <a16:creationId xmlns:a16="http://schemas.microsoft.com/office/drawing/2014/main" id="{00000000-0008-0000-0400-0000C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34</xdr:row>
          <xdr:rowOff>64770</xdr:rowOff>
        </xdr:from>
        <xdr:to>
          <xdr:col>6</xdr:col>
          <xdr:colOff>906780</xdr:colOff>
          <xdr:row>34</xdr:row>
          <xdr:rowOff>297180</xdr:rowOff>
        </xdr:to>
        <xdr:sp macro="" textlink="">
          <xdr:nvSpPr>
            <xdr:cNvPr id="16589" name="Option Button 205" hidden="1">
              <a:extLst>
                <a:ext uri="{63B3BB69-23CF-44E3-9099-C40C66FF867C}">
                  <a14:compatExt spid="_x0000_s16589"/>
                </a:ext>
                <a:ext uri="{FF2B5EF4-FFF2-40B4-BE49-F238E27FC236}">
                  <a16:creationId xmlns:a16="http://schemas.microsoft.com/office/drawing/2014/main" id="{00000000-0008-0000-0400-0000C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35</xdr:row>
          <xdr:rowOff>57150</xdr:rowOff>
        </xdr:from>
        <xdr:to>
          <xdr:col>6</xdr:col>
          <xdr:colOff>906780</xdr:colOff>
          <xdr:row>35</xdr:row>
          <xdr:rowOff>278130</xdr:rowOff>
        </xdr:to>
        <xdr:sp macro="" textlink="">
          <xdr:nvSpPr>
            <xdr:cNvPr id="16590" name="Option Button 206" hidden="1">
              <a:extLst>
                <a:ext uri="{63B3BB69-23CF-44E3-9099-C40C66FF867C}">
                  <a14:compatExt spid="_x0000_s16590"/>
                </a:ext>
                <a:ext uri="{FF2B5EF4-FFF2-40B4-BE49-F238E27FC236}">
                  <a16:creationId xmlns:a16="http://schemas.microsoft.com/office/drawing/2014/main" id="{00000000-0008-0000-0400-0000C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36</xdr:row>
          <xdr:rowOff>83820</xdr:rowOff>
        </xdr:from>
        <xdr:to>
          <xdr:col>7</xdr:col>
          <xdr:colOff>11430</xdr:colOff>
          <xdr:row>40</xdr:row>
          <xdr:rowOff>87630</xdr:rowOff>
        </xdr:to>
        <xdr:sp macro="" textlink="">
          <xdr:nvSpPr>
            <xdr:cNvPr id="16591" name="Group Box 207" hidden="1">
              <a:extLst>
                <a:ext uri="{63B3BB69-23CF-44E3-9099-C40C66FF867C}">
                  <a14:compatExt spid="_x0000_s16591"/>
                </a:ext>
                <a:ext uri="{FF2B5EF4-FFF2-40B4-BE49-F238E27FC236}">
                  <a16:creationId xmlns:a16="http://schemas.microsoft.com/office/drawing/2014/main" id="{00000000-0008-0000-0400-0000C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37</xdr:row>
          <xdr:rowOff>0</xdr:rowOff>
        </xdr:from>
        <xdr:to>
          <xdr:col>6</xdr:col>
          <xdr:colOff>906780</xdr:colOff>
          <xdr:row>38</xdr:row>
          <xdr:rowOff>0</xdr:rowOff>
        </xdr:to>
        <xdr:sp macro="" textlink="">
          <xdr:nvSpPr>
            <xdr:cNvPr id="16592" name="Option Button 208" hidden="1">
              <a:extLst>
                <a:ext uri="{63B3BB69-23CF-44E3-9099-C40C66FF867C}">
                  <a14:compatExt spid="_x0000_s16592"/>
                </a:ext>
                <a:ext uri="{FF2B5EF4-FFF2-40B4-BE49-F238E27FC236}">
                  <a16:creationId xmlns:a16="http://schemas.microsoft.com/office/drawing/2014/main" id="{00000000-0008-0000-0400-0000D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38</xdr:row>
          <xdr:rowOff>0</xdr:rowOff>
        </xdr:from>
        <xdr:to>
          <xdr:col>6</xdr:col>
          <xdr:colOff>906780</xdr:colOff>
          <xdr:row>39</xdr:row>
          <xdr:rowOff>0</xdr:rowOff>
        </xdr:to>
        <xdr:sp macro="" textlink="">
          <xdr:nvSpPr>
            <xdr:cNvPr id="16593" name="Option Button 209" hidden="1">
              <a:extLst>
                <a:ext uri="{63B3BB69-23CF-44E3-9099-C40C66FF867C}">
                  <a14:compatExt spid="_x0000_s16593"/>
                </a:ext>
                <a:ext uri="{FF2B5EF4-FFF2-40B4-BE49-F238E27FC236}">
                  <a16:creationId xmlns:a16="http://schemas.microsoft.com/office/drawing/2014/main" id="{00000000-0008-0000-0400-0000D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39</xdr:row>
          <xdr:rowOff>0</xdr:rowOff>
        </xdr:from>
        <xdr:to>
          <xdr:col>6</xdr:col>
          <xdr:colOff>906780</xdr:colOff>
          <xdr:row>40</xdr:row>
          <xdr:rowOff>0</xdr:rowOff>
        </xdr:to>
        <xdr:sp macro="" textlink="">
          <xdr:nvSpPr>
            <xdr:cNvPr id="16594" name="Option Button 210" hidden="1">
              <a:extLst>
                <a:ext uri="{63B3BB69-23CF-44E3-9099-C40C66FF867C}">
                  <a14:compatExt spid="_x0000_s16594"/>
                </a:ext>
                <a:ext uri="{FF2B5EF4-FFF2-40B4-BE49-F238E27FC236}">
                  <a16:creationId xmlns:a16="http://schemas.microsoft.com/office/drawing/2014/main" id="{00000000-0008-0000-0400-0000D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40</xdr:row>
          <xdr:rowOff>228600</xdr:rowOff>
        </xdr:from>
        <xdr:to>
          <xdr:col>6</xdr:col>
          <xdr:colOff>1466850</xdr:colOff>
          <xdr:row>45</xdr:row>
          <xdr:rowOff>68580</xdr:rowOff>
        </xdr:to>
        <xdr:sp macro="" textlink="">
          <xdr:nvSpPr>
            <xdr:cNvPr id="16595" name="Group Box 211" hidden="1">
              <a:extLst>
                <a:ext uri="{63B3BB69-23CF-44E3-9099-C40C66FF867C}">
                  <a14:compatExt spid="_x0000_s16595"/>
                </a:ext>
                <a:ext uri="{FF2B5EF4-FFF2-40B4-BE49-F238E27FC236}">
                  <a16:creationId xmlns:a16="http://schemas.microsoft.com/office/drawing/2014/main" id="{00000000-0008-0000-0400-0000D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674370</xdr:colOff>
          <xdr:row>41</xdr:row>
          <xdr:rowOff>0</xdr:rowOff>
        </xdr:from>
        <xdr:to>
          <xdr:col>6</xdr:col>
          <xdr:colOff>914400</xdr:colOff>
          <xdr:row>42</xdr:row>
          <xdr:rowOff>0</xdr:rowOff>
        </xdr:to>
        <xdr:sp macro="" textlink="">
          <xdr:nvSpPr>
            <xdr:cNvPr id="16596" name="Option Button 212" hidden="1">
              <a:extLst>
                <a:ext uri="{63B3BB69-23CF-44E3-9099-C40C66FF867C}">
                  <a14:compatExt spid="_x0000_s16596"/>
                </a:ext>
                <a:ext uri="{FF2B5EF4-FFF2-40B4-BE49-F238E27FC236}">
                  <a16:creationId xmlns:a16="http://schemas.microsoft.com/office/drawing/2014/main" id="{00000000-0008-0000-0400-0000D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42</xdr:row>
          <xdr:rowOff>7620</xdr:rowOff>
        </xdr:from>
        <xdr:to>
          <xdr:col>6</xdr:col>
          <xdr:colOff>906780</xdr:colOff>
          <xdr:row>43</xdr:row>
          <xdr:rowOff>0</xdr:rowOff>
        </xdr:to>
        <xdr:sp macro="" textlink="">
          <xdr:nvSpPr>
            <xdr:cNvPr id="16597" name="Option Button 213" hidden="1">
              <a:extLst>
                <a:ext uri="{63B3BB69-23CF-44E3-9099-C40C66FF867C}">
                  <a14:compatExt spid="_x0000_s16597"/>
                </a:ext>
                <a:ext uri="{FF2B5EF4-FFF2-40B4-BE49-F238E27FC236}">
                  <a16:creationId xmlns:a16="http://schemas.microsoft.com/office/drawing/2014/main" id="{00000000-0008-0000-0400-0000D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43</xdr:row>
          <xdr:rowOff>0</xdr:rowOff>
        </xdr:from>
        <xdr:to>
          <xdr:col>6</xdr:col>
          <xdr:colOff>906780</xdr:colOff>
          <xdr:row>44</xdr:row>
          <xdr:rowOff>0</xdr:rowOff>
        </xdr:to>
        <xdr:sp macro="" textlink="">
          <xdr:nvSpPr>
            <xdr:cNvPr id="16598" name="Option Button 214" hidden="1">
              <a:extLst>
                <a:ext uri="{63B3BB69-23CF-44E3-9099-C40C66FF867C}">
                  <a14:compatExt spid="_x0000_s16598"/>
                </a:ext>
                <a:ext uri="{FF2B5EF4-FFF2-40B4-BE49-F238E27FC236}">
                  <a16:creationId xmlns:a16="http://schemas.microsoft.com/office/drawing/2014/main" id="{00000000-0008-0000-0400-0000D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44</xdr:row>
          <xdr:rowOff>0</xdr:rowOff>
        </xdr:from>
        <xdr:to>
          <xdr:col>6</xdr:col>
          <xdr:colOff>906780</xdr:colOff>
          <xdr:row>45</xdr:row>
          <xdr:rowOff>0</xdr:rowOff>
        </xdr:to>
        <xdr:sp macro="" textlink="">
          <xdr:nvSpPr>
            <xdr:cNvPr id="16599" name="Option Button 215" hidden="1">
              <a:extLst>
                <a:ext uri="{63B3BB69-23CF-44E3-9099-C40C66FF867C}">
                  <a14:compatExt spid="_x0000_s16599"/>
                </a:ext>
                <a:ext uri="{FF2B5EF4-FFF2-40B4-BE49-F238E27FC236}">
                  <a16:creationId xmlns:a16="http://schemas.microsoft.com/office/drawing/2014/main" id="{00000000-0008-0000-0400-0000D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163830</xdr:colOff>
          <xdr:row>45</xdr:row>
          <xdr:rowOff>125730</xdr:rowOff>
        </xdr:from>
        <xdr:to>
          <xdr:col>6</xdr:col>
          <xdr:colOff>1447800</xdr:colOff>
          <xdr:row>49</xdr:row>
          <xdr:rowOff>49530</xdr:rowOff>
        </xdr:to>
        <xdr:sp macro="" textlink="">
          <xdr:nvSpPr>
            <xdr:cNvPr id="16600" name="Group Box 216" hidden="1">
              <a:extLst>
                <a:ext uri="{63B3BB69-23CF-44E3-9099-C40C66FF867C}">
                  <a14:compatExt spid="_x0000_s16600"/>
                </a:ext>
                <a:ext uri="{FF2B5EF4-FFF2-40B4-BE49-F238E27FC236}">
                  <a16:creationId xmlns:a16="http://schemas.microsoft.com/office/drawing/2014/main" id="{00000000-0008-0000-0400-0000D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46</xdr:row>
          <xdr:rowOff>11430</xdr:rowOff>
        </xdr:from>
        <xdr:to>
          <xdr:col>6</xdr:col>
          <xdr:colOff>906780</xdr:colOff>
          <xdr:row>47</xdr:row>
          <xdr:rowOff>0</xdr:rowOff>
        </xdr:to>
        <xdr:sp macro="" textlink="">
          <xdr:nvSpPr>
            <xdr:cNvPr id="16601" name="Option Button 217" hidden="1">
              <a:extLst>
                <a:ext uri="{63B3BB69-23CF-44E3-9099-C40C66FF867C}">
                  <a14:compatExt spid="_x0000_s16601"/>
                </a:ext>
                <a:ext uri="{FF2B5EF4-FFF2-40B4-BE49-F238E27FC236}">
                  <a16:creationId xmlns:a16="http://schemas.microsoft.com/office/drawing/2014/main" id="{00000000-0008-0000-0400-0000D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47</xdr:row>
          <xdr:rowOff>0</xdr:rowOff>
        </xdr:from>
        <xdr:to>
          <xdr:col>6</xdr:col>
          <xdr:colOff>906780</xdr:colOff>
          <xdr:row>48</xdr:row>
          <xdr:rowOff>0</xdr:rowOff>
        </xdr:to>
        <xdr:sp macro="" textlink="">
          <xdr:nvSpPr>
            <xdr:cNvPr id="16602" name="Option Button 218" hidden="1">
              <a:extLst>
                <a:ext uri="{63B3BB69-23CF-44E3-9099-C40C66FF867C}">
                  <a14:compatExt spid="_x0000_s16602"/>
                </a:ext>
                <a:ext uri="{FF2B5EF4-FFF2-40B4-BE49-F238E27FC236}">
                  <a16:creationId xmlns:a16="http://schemas.microsoft.com/office/drawing/2014/main" id="{00000000-0008-0000-0400-0000D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48</xdr:row>
          <xdr:rowOff>0</xdr:rowOff>
        </xdr:from>
        <xdr:to>
          <xdr:col>6</xdr:col>
          <xdr:colOff>906780</xdr:colOff>
          <xdr:row>49</xdr:row>
          <xdr:rowOff>0</xdr:rowOff>
        </xdr:to>
        <xdr:sp macro="" textlink="">
          <xdr:nvSpPr>
            <xdr:cNvPr id="16603" name="Option Button 219" hidden="1">
              <a:extLst>
                <a:ext uri="{63B3BB69-23CF-44E3-9099-C40C66FF867C}">
                  <a14:compatExt spid="_x0000_s16603"/>
                </a:ext>
                <a:ext uri="{FF2B5EF4-FFF2-40B4-BE49-F238E27FC236}">
                  <a16:creationId xmlns:a16="http://schemas.microsoft.com/office/drawing/2014/main" id="{00000000-0008-0000-0400-0000D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163830</xdr:colOff>
          <xdr:row>50</xdr:row>
          <xdr:rowOff>83820</xdr:rowOff>
        </xdr:from>
        <xdr:to>
          <xdr:col>6</xdr:col>
          <xdr:colOff>1485900</xdr:colOff>
          <xdr:row>53</xdr:row>
          <xdr:rowOff>57150</xdr:rowOff>
        </xdr:to>
        <xdr:sp macro="" textlink="">
          <xdr:nvSpPr>
            <xdr:cNvPr id="16604" name="Group Box 220" hidden="1">
              <a:extLst>
                <a:ext uri="{63B3BB69-23CF-44E3-9099-C40C66FF867C}">
                  <a14:compatExt spid="_x0000_s16604"/>
                </a:ext>
                <a:ext uri="{FF2B5EF4-FFF2-40B4-BE49-F238E27FC236}">
                  <a16:creationId xmlns:a16="http://schemas.microsoft.com/office/drawing/2014/main" id="{00000000-0008-0000-0400-0000D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51</xdr:row>
          <xdr:rowOff>7620</xdr:rowOff>
        </xdr:from>
        <xdr:to>
          <xdr:col>6</xdr:col>
          <xdr:colOff>906780</xdr:colOff>
          <xdr:row>52</xdr:row>
          <xdr:rowOff>0</xdr:rowOff>
        </xdr:to>
        <xdr:sp macro="" textlink="">
          <xdr:nvSpPr>
            <xdr:cNvPr id="16605" name="Option Button 221" hidden="1">
              <a:extLst>
                <a:ext uri="{63B3BB69-23CF-44E3-9099-C40C66FF867C}">
                  <a14:compatExt spid="_x0000_s16605"/>
                </a:ext>
                <a:ext uri="{FF2B5EF4-FFF2-40B4-BE49-F238E27FC236}">
                  <a16:creationId xmlns:a16="http://schemas.microsoft.com/office/drawing/2014/main" id="{00000000-0008-0000-0400-0000D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52</xdr:row>
          <xdr:rowOff>0</xdr:rowOff>
        </xdr:from>
        <xdr:to>
          <xdr:col>6</xdr:col>
          <xdr:colOff>906780</xdr:colOff>
          <xdr:row>53</xdr:row>
          <xdr:rowOff>0</xdr:rowOff>
        </xdr:to>
        <xdr:sp macro="" textlink="">
          <xdr:nvSpPr>
            <xdr:cNvPr id="16606" name="Option Button 222" hidden="1">
              <a:extLst>
                <a:ext uri="{63B3BB69-23CF-44E3-9099-C40C66FF867C}">
                  <a14:compatExt spid="_x0000_s16606"/>
                </a:ext>
                <a:ext uri="{FF2B5EF4-FFF2-40B4-BE49-F238E27FC236}">
                  <a16:creationId xmlns:a16="http://schemas.microsoft.com/office/drawing/2014/main" id="{00000000-0008-0000-0400-0000D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53</xdr:row>
          <xdr:rowOff>102870</xdr:rowOff>
        </xdr:from>
        <xdr:to>
          <xdr:col>6</xdr:col>
          <xdr:colOff>1466850</xdr:colOff>
          <xdr:row>58</xdr:row>
          <xdr:rowOff>236220</xdr:rowOff>
        </xdr:to>
        <xdr:sp macro="" textlink="">
          <xdr:nvSpPr>
            <xdr:cNvPr id="16607" name="Group Box 223" hidden="1">
              <a:extLst>
                <a:ext uri="{63B3BB69-23CF-44E3-9099-C40C66FF867C}">
                  <a14:compatExt spid="_x0000_s16607"/>
                </a:ext>
                <a:ext uri="{FF2B5EF4-FFF2-40B4-BE49-F238E27FC236}">
                  <a16:creationId xmlns:a16="http://schemas.microsoft.com/office/drawing/2014/main" id="{00000000-0008-0000-0400-0000D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54</xdr:row>
          <xdr:rowOff>331470</xdr:rowOff>
        </xdr:from>
        <xdr:to>
          <xdr:col>6</xdr:col>
          <xdr:colOff>925830</xdr:colOff>
          <xdr:row>54</xdr:row>
          <xdr:rowOff>563880</xdr:rowOff>
        </xdr:to>
        <xdr:sp macro="" textlink="">
          <xdr:nvSpPr>
            <xdr:cNvPr id="16608" name="Option Button 224" hidden="1">
              <a:extLst>
                <a:ext uri="{63B3BB69-23CF-44E3-9099-C40C66FF867C}">
                  <a14:compatExt spid="_x0000_s16608"/>
                </a:ext>
                <a:ext uri="{FF2B5EF4-FFF2-40B4-BE49-F238E27FC236}">
                  <a16:creationId xmlns:a16="http://schemas.microsoft.com/office/drawing/2014/main" id="{00000000-0008-0000-0400-0000E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55</xdr:row>
          <xdr:rowOff>160020</xdr:rowOff>
        </xdr:from>
        <xdr:to>
          <xdr:col>6</xdr:col>
          <xdr:colOff>914400</xdr:colOff>
          <xdr:row>55</xdr:row>
          <xdr:rowOff>392430</xdr:rowOff>
        </xdr:to>
        <xdr:sp macro="" textlink="">
          <xdr:nvSpPr>
            <xdr:cNvPr id="16609" name="Option Button 225" hidden="1">
              <a:extLst>
                <a:ext uri="{63B3BB69-23CF-44E3-9099-C40C66FF867C}">
                  <a14:compatExt spid="_x0000_s16609"/>
                </a:ext>
                <a:ext uri="{FF2B5EF4-FFF2-40B4-BE49-F238E27FC236}">
                  <a16:creationId xmlns:a16="http://schemas.microsoft.com/office/drawing/2014/main" id="{00000000-0008-0000-0400-0000E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56</xdr:row>
          <xdr:rowOff>57150</xdr:rowOff>
        </xdr:from>
        <xdr:to>
          <xdr:col>6</xdr:col>
          <xdr:colOff>906780</xdr:colOff>
          <xdr:row>56</xdr:row>
          <xdr:rowOff>278130</xdr:rowOff>
        </xdr:to>
        <xdr:sp macro="" textlink="">
          <xdr:nvSpPr>
            <xdr:cNvPr id="16610" name="Option Button 226" hidden="1">
              <a:extLst>
                <a:ext uri="{63B3BB69-23CF-44E3-9099-C40C66FF867C}">
                  <a14:compatExt spid="_x0000_s16610"/>
                </a:ext>
                <a:ext uri="{FF2B5EF4-FFF2-40B4-BE49-F238E27FC236}">
                  <a16:creationId xmlns:a16="http://schemas.microsoft.com/office/drawing/2014/main" id="{00000000-0008-0000-0400-0000E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57</xdr:row>
          <xdr:rowOff>0</xdr:rowOff>
        </xdr:from>
        <xdr:to>
          <xdr:col>6</xdr:col>
          <xdr:colOff>925830</xdr:colOff>
          <xdr:row>58</xdr:row>
          <xdr:rowOff>0</xdr:rowOff>
        </xdr:to>
        <xdr:sp macro="" textlink="">
          <xdr:nvSpPr>
            <xdr:cNvPr id="16611" name="Option Button 227" hidden="1">
              <a:extLst>
                <a:ext uri="{63B3BB69-23CF-44E3-9099-C40C66FF867C}">
                  <a14:compatExt spid="_x0000_s16611"/>
                </a:ext>
                <a:ext uri="{FF2B5EF4-FFF2-40B4-BE49-F238E27FC236}">
                  <a16:creationId xmlns:a16="http://schemas.microsoft.com/office/drawing/2014/main" id="{00000000-0008-0000-0400-0000E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163830</xdr:colOff>
          <xdr:row>58</xdr:row>
          <xdr:rowOff>381000</xdr:rowOff>
        </xdr:from>
        <xdr:to>
          <xdr:col>6</xdr:col>
          <xdr:colOff>1474470</xdr:colOff>
          <xdr:row>60</xdr:row>
          <xdr:rowOff>236220</xdr:rowOff>
        </xdr:to>
        <xdr:sp macro="" textlink="">
          <xdr:nvSpPr>
            <xdr:cNvPr id="16612" name="Group Box 228" hidden="1">
              <a:extLst>
                <a:ext uri="{63B3BB69-23CF-44E3-9099-C40C66FF867C}">
                  <a14:compatExt spid="_x0000_s16612"/>
                </a:ext>
                <a:ext uri="{FF2B5EF4-FFF2-40B4-BE49-F238E27FC236}">
                  <a16:creationId xmlns:a16="http://schemas.microsoft.com/office/drawing/2014/main" id="{00000000-0008-0000-0400-0000E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59</xdr:row>
          <xdr:rowOff>0</xdr:rowOff>
        </xdr:from>
        <xdr:to>
          <xdr:col>6</xdr:col>
          <xdr:colOff>925830</xdr:colOff>
          <xdr:row>60</xdr:row>
          <xdr:rowOff>0</xdr:rowOff>
        </xdr:to>
        <xdr:sp macro="" textlink="">
          <xdr:nvSpPr>
            <xdr:cNvPr id="16613" name="Option Button 229" hidden="1">
              <a:extLst>
                <a:ext uri="{63B3BB69-23CF-44E3-9099-C40C66FF867C}">
                  <a14:compatExt spid="_x0000_s16613"/>
                </a:ext>
                <a:ext uri="{FF2B5EF4-FFF2-40B4-BE49-F238E27FC236}">
                  <a16:creationId xmlns:a16="http://schemas.microsoft.com/office/drawing/2014/main" id="{00000000-0008-0000-0400-0000E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60</xdr:row>
          <xdr:rowOff>0</xdr:rowOff>
        </xdr:from>
        <xdr:to>
          <xdr:col>6</xdr:col>
          <xdr:colOff>925830</xdr:colOff>
          <xdr:row>60</xdr:row>
          <xdr:rowOff>198120</xdr:rowOff>
        </xdr:to>
        <xdr:sp macro="" textlink="">
          <xdr:nvSpPr>
            <xdr:cNvPr id="16614" name="Option Button 230" hidden="1">
              <a:extLst>
                <a:ext uri="{63B3BB69-23CF-44E3-9099-C40C66FF867C}">
                  <a14:compatExt spid="_x0000_s16614"/>
                </a:ext>
                <a:ext uri="{FF2B5EF4-FFF2-40B4-BE49-F238E27FC236}">
                  <a16:creationId xmlns:a16="http://schemas.microsoft.com/office/drawing/2014/main" id="{00000000-0008-0000-0400-0000E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61</xdr:row>
          <xdr:rowOff>106680</xdr:rowOff>
        </xdr:from>
        <xdr:to>
          <xdr:col>6</xdr:col>
          <xdr:colOff>1474470</xdr:colOff>
          <xdr:row>65</xdr:row>
          <xdr:rowOff>57150</xdr:rowOff>
        </xdr:to>
        <xdr:sp macro="" textlink="">
          <xdr:nvSpPr>
            <xdr:cNvPr id="16615" name="Group Box 231" hidden="1">
              <a:extLst>
                <a:ext uri="{63B3BB69-23CF-44E3-9099-C40C66FF867C}">
                  <a14:compatExt spid="_x0000_s16615"/>
                </a:ext>
                <a:ext uri="{FF2B5EF4-FFF2-40B4-BE49-F238E27FC236}">
                  <a16:creationId xmlns:a16="http://schemas.microsoft.com/office/drawing/2014/main" id="{00000000-0008-0000-0400-0000E7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231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62</xdr:row>
          <xdr:rowOff>0</xdr:rowOff>
        </xdr:from>
        <xdr:to>
          <xdr:col>6</xdr:col>
          <xdr:colOff>906780</xdr:colOff>
          <xdr:row>63</xdr:row>
          <xdr:rowOff>0</xdr:rowOff>
        </xdr:to>
        <xdr:sp macro="" textlink="">
          <xdr:nvSpPr>
            <xdr:cNvPr id="16616" name="Option Button 232" hidden="1">
              <a:extLst>
                <a:ext uri="{63B3BB69-23CF-44E3-9099-C40C66FF867C}">
                  <a14:compatExt spid="_x0000_s16616"/>
                </a:ext>
                <a:ext uri="{FF2B5EF4-FFF2-40B4-BE49-F238E27FC236}">
                  <a16:creationId xmlns:a16="http://schemas.microsoft.com/office/drawing/2014/main" id="{00000000-0008-0000-0400-0000E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678180</xdr:colOff>
          <xdr:row>63</xdr:row>
          <xdr:rowOff>83820</xdr:rowOff>
        </xdr:from>
        <xdr:to>
          <xdr:col>6</xdr:col>
          <xdr:colOff>906780</xdr:colOff>
          <xdr:row>63</xdr:row>
          <xdr:rowOff>297180</xdr:rowOff>
        </xdr:to>
        <xdr:sp macro="" textlink="">
          <xdr:nvSpPr>
            <xdr:cNvPr id="16617" name="Option Button 233" hidden="1">
              <a:extLst>
                <a:ext uri="{63B3BB69-23CF-44E3-9099-C40C66FF867C}">
                  <a14:compatExt spid="_x0000_s16617"/>
                </a:ext>
                <a:ext uri="{FF2B5EF4-FFF2-40B4-BE49-F238E27FC236}">
                  <a16:creationId xmlns:a16="http://schemas.microsoft.com/office/drawing/2014/main" id="{00000000-0008-0000-0400-0000E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674370</xdr:colOff>
          <xdr:row>64</xdr:row>
          <xdr:rowOff>83820</xdr:rowOff>
        </xdr:from>
        <xdr:to>
          <xdr:col>6</xdr:col>
          <xdr:colOff>914400</xdr:colOff>
          <xdr:row>64</xdr:row>
          <xdr:rowOff>297180</xdr:rowOff>
        </xdr:to>
        <xdr:sp macro="" textlink="">
          <xdr:nvSpPr>
            <xdr:cNvPr id="16618" name="Option Button 234" hidden="1">
              <a:extLst>
                <a:ext uri="{63B3BB69-23CF-44E3-9099-C40C66FF867C}">
                  <a14:compatExt spid="_x0000_s16618"/>
                </a:ext>
                <a:ext uri="{FF2B5EF4-FFF2-40B4-BE49-F238E27FC236}">
                  <a16:creationId xmlns:a16="http://schemas.microsoft.com/office/drawing/2014/main" id="{00000000-0008-0000-0400-0000E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xdr:row>
          <xdr:rowOff>152400</xdr:rowOff>
        </xdr:from>
        <xdr:to>
          <xdr:col>8</xdr:col>
          <xdr:colOff>1447800</xdr:colOff>
          <xdr:row>12</xdr:row>
          <xdr:rowOff>30480</xdr:rowOff>
        </xdr:to>
        <xdr:sp macro="" textlink="">
          <xdr:nvSpPr>
            <xdr:cNvPr id="16620" name="Group Box 236" hidden="1">
              <a:extLst>
                <a:ext uri="{63B3BB69-23CF-44E3-9099-C40C66FF867C}">
                  <a14:compatExt spid="_x0000_s16620"/>
                </a:ext>
                <a:ext uri="{FF2B5EF4-FFF2-40B4-BE49-F238E27FC236}">
                  <a16:creationId xmlns:a16="http://schemas.microsoft.com/office/drawing/2014/main" id="{00000000-0008-0000-0400-0000E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236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8</xdr:row>
          <xdr:rowOff>0</xdr:rowOff>
        </xdr:from>
        <xdr:to>
          <xdr:col>8</xdr:col>
          <xdr:colOff>895350</xdr:colOff>
          <xdr:row>9</xdr:row>
          <xdr:rowOff>0</xdr:rowOff>
        </xdr:to>
        <xdr:sp macro="" textlink="">
          <xdr:nvSpPr>
            <xdr:cNvPr id="16621" name="Option Button 237" hidden="1">
              <a:extLst>
                <a:ext uri="{63B3BB69-23CF-44E3-9099-C40C66FF867C}">
                  <a14:compatExt spid="_x0000_s16621"/>
                </a:ext>
                <a:ext uri="{FF2B5EF4-FFF2-40B4-BE49-F238E27FC236}">
                  <a16:creationId xmlns:a16="http://schemas.microsoft.com/office/drawing/2014/main" id="{00000000-0008-0000-0400-0000E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9</xdr:row>
          <xdr:rowOff>11430</xdr:rowOff>
        </xdr:from>
        <xdr:to>
          <xdr:col>8</xdr:col>
          <xdr:colOff>895350</xdr:colOff>
          <xdr:row>10</xdr:row>
          <xdr:rowOff>0</xdr:rowOff>
        </xdr:to>
        <xdr:sp macro="" textlink="">
          <xdr:nvSpPr>
            <xdr:cNvPr id="16622" name="Option Button 238" hidden="1">
              <a:extLst>
                <a:ext uri="{63B3BB69-23CF-44E3-9099-C40C66FF867C}">
                  <a14:compatExt spid="_x0000_s16622"/>
                </a:ext>
                <a:ext uri="{FF2B5EF4-FFF2-40B4-BE49-F238E27FC236}">
                  <a16:creationId xmlns:a16="http://schemas.microsoft.com/office/drawing/2014/main" id="{00000000-0008-0000-0400-0000E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10</xdr:row>
          <xdr:rowOff>0</xdr:rowOff>
        </xdr:from>
        <xdr:to>
          <xdr:col>8</xdr:col>
          <xdr:colOff>895350</xdr:colOff>
          <xdr:row>11</xdr:row>
          <xdr:rowOff>0</xdr:rowOff>
        </xdr:to>
        <xdr:sp macro="" textlink="">
          <xdr:nvSpPr>
            <xdr:cNvPr id="16623" name="Option Button 239" hidden="1">
              <a:extLst>
                <a:ext uri="{63B3BB69-23CF-44E3-9099-C40C66FF867C}">
                  <a14:compatExt spid="_x0000_s16623"/>
                </a:ext>
                <a:ext uri="{FF2B5EF4-FFF2-40B4-BE49-F238E27FC236}">
                  <a16:creationId xmlns:a16="http://schemas.microsoft.com/office/drawing/2014/main" id="{00000000-0008-0000-0400-0000E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11</xdr:row>
          <xdr:rowOff>217170</xdr:rowOff>
        </xdr:from>
        <xdr:to>
          <xdr:col>8</xdr:col>
          <xdr:colOff>895350</xdr:colOff>
          <xdr:row>11</xdr:row>
          <xdr:rowOff>449580</xdr:rowOff>
        </xdr:to>
        <xdr:sp macro="" textlink="">
          <xdr:nvSpPr>
            <xdr:cNvPr id="16624" name="Option Button 240" hidden="1">
              <a:extLst>
                <a:ext uri="{63B3BB69-23CF-44E3-9099-C40C66FF867C}">
                  <a14:compatExt spid="_x0000_s16624"/>
                </a:ext>
                <a:ext uri="{FF2B5EF4-FFF2-40B4-BE49-F238E27FC236}">
                  <a16:creationId xmlns:a16="http://schemas.microsoft.com/office/drawing/2014/main" id="{00000000-0008-0000-0400-0000F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xdr:row>
          <xdr:rowOff>133350</xdr:rowOff>
        </xdr:from>
        <xdr:to>
          <xdr:col>8</xdr:col>
          <xdr:colOff>1436370</xdr:colOff>
          <xdr:row>17</xdr:row>
          <xdr:rowOff>11430</xdr:rowOff>
        </xdr:to>
        <xdr:sp macro="" textlink="">
          <xdr:nvSpPr>
            <xdr:cNvPr id="16625" name="Group Box 241" hidden="1">
              <a:extLst>
                <a:ext uri="{63B3BB69-23CF-44E3-9099-C40C66FF867C}">
                  <a14:compatExt spid="_x0000_s16625"/>
                </a:ext>
                <a:ext uri="{FF2B5EF4-FFF2-40B4-BE49-F238E27FC236}">
                  <a16:creationId xmlns:a16="http://schemas.microsoft.com/office/drawing/2014/main" id="{00000000-0008-0000-0400-0000F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13</xdr:row>
          <xdr:rowOff>0</xdr:rowOff>
        </xdr:from>
        <xdr:to>
          <xdr:col>8</xdr:col>
          <xdr:colOff>914400</xdr:colOff>
          <xdr:row>14</xdr:row>
          <xdr:rowOff>0</xdr:rowOff>
        </xdr:to>
        <xdr:sp macro="" textlink="">
          <xdr:nvSpPr>
            <xdr:cNvPr id="16626" name="Option Button 242" hidden="1">
              <a:extLst>
                <a:ext uri="{63B3BB69-23CF-44E3-9099-C40C66FF867C}">
                  <a14:compatExt spid="_x0000_s16626"/>
                </a:ext>
                <a:ext uri="{FF2B5EF4-FFF2-40B4-BE49-F238E27FC236}">
                  <a16:creationId xmlns:a16="http://schemas.microsoft.com/office/drawing/2014/main" id="{00000000-0008-0000-0400-0000F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674370</xdr:colOff>
          <xdr:row>14</xdr:row>
          <xdr:rowOff>11430</xdr:rowOff>
        </xdr:from>
        <xdr:to>
          <xdr:col>8</xdr:col>
          <xdr:colOff>925830</xdr:colOff>
          <xdr:row>15</xdr:row>
          <xdr:rowOff>0</xdr:rowOff>
        </xdr:to>
        <xdr:sp macro="" textlink="">
          <xdr:nvSpPr>
            <xdr:cNvPr id="16627" name="Option Button 243" hidden="1">
              <a:extLst>
                <a:ext uri="{63B3BB69-23CF-44E3-9099-C40C66FF867C}">
                  <a14:compatExt spid="_x0000_s16627"/>
                </a:ext>
                <a:ext uri="{FF2B5EF4-FFF2-40B4-BE49-F238E27FC236}">
                  <a16:creationId xmlns:a16="http://schemas.microsoft.com/office/drawing/2014/main" id="{00000000-0008-0000-0400-0000F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15</xdr:row>
          <xdr:rowOff>152400</xdr:rowOff>
        </xdr:from>
        <xdr:to>
          <xdr:col>8</xdr:col>
          <xdr:colOff>914400</xdr:colOff>
          <xdr:row>15</xdr:row>
          <xdr:rowOff>373380</xdr:rowOff>
        </xdr:to>
        <xdr:sp macro="" textlink="">
          <xdr:nvSpPr>
            <xdr:cNvPr id="16628" name="Option Button 244" hidden="1">
              <a:extLst>
                <a:ext uri="{63B3BB69-23CF-44E3-9099-C40C66FF867C}">
                  <a14:compatExt spid="_x0000_s16628"/>
                </a:ext>
                <a:ext uri="{FF2B5EF4-FFF2-40B4-BE49-F238E27FC236}">
                  <a16:creationId xmlns:a16="http://schemas.microsoft.com/office/drawing/2014/main" id="{00000000-0008-0000-0400-0000F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16</xdr:row>
          <xdr:rowOff>0</xdr:rowOff>
        </xdr:from>
        <xdr:to>
          <xdr:col>8</xdr:col>
          <xdr:colOff>914400</xdr:colOff>
          <xdr:row>17</xdr:row>
          <xdr:rowOff>0</xdr:rowOff>
        </xdr:to>
        <xdr:sp macro="" textlink="">
          <xdr:nvSpPr>
            <xdr:cNvPr id="16629" name="Option Button 245" hidden="1">
              <a:extLst>
                <a:ext uri="{63B3BB69-23CF-44E3-9099-C40C66FF867C}">
                  <a14:compatExt spid="_x0000_s16629"/>
                </a:ext>
                <a:ext uri="{FF2B5EF4-FFF2-40B4-BE49-F238E27FC236}">
                  <a16:creationId xmlns:a16="http://schemas.microsoft.com/office/drawing/2014/main" id="{00000000-0008-0000-0400-0000F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17</xdr:row>
          <xdr:rowOff>163830</xdr:rowOff>
        </xdr:from>
        <xdr:to>
          <xdr:col>8</xdr:col>
          <xdr:colOff>1466850</xdr:colOff>
          <xdr:row>22</xdr:row>
          <xdr:rowOff>49530</xdr:rowOff>
        </xdr:to>
        <xdr:sp macro="" textlink="">
          <xdr:nvSpPr>
            <xdr:cNvPr id="16630" name="Group Box 246" hidden="1">
              <a:extLst>
                <a:ext uri="{63B3BB69-23CF-44E3-9099-C40C66FF867C}">
                  <a14:compatExt spid="_x0000_s16630"/>
                </a:ext>
                <a:ext uri="{FF2B5EF4-FFF2-40B4-BE49-F238E27FC236}">
                  <a16:creationId xmlns:a16="http://schemas.microsoft.com/office/drawing/2014/main" id="{00000000-0008-0000-0400-0000F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674370</xdr:colOff>
          <xdr:row>18</xdr:row>
          <xdr:rowOff>0</xdr:rowOff>
        </xdr:from>
        <xdr:to>
          <xdr:col>8</xdr:col>
          <xdr:colOff>925830</xdr:colOff>
          <xdr:row>19</xdr:row>
          <xdr:rowOff>0</xdr:rowOff>
        </xdr:to>
        <xdr:sp macro="" textlink="">
          <xdr:nvSpPr>
            <xdr:cNvPr id="16631" name="Option Button 247" hidden="1">
              <a:extLst>
                <a:ext uri="{63B3BB69-23CF-44E3-9099-C40C66FF867C}">
                  <a14:compatExt spid="_x0000_s16631"/>
                </a:ext>
                <a:ext uri="{FF2B5EF4-FFF2-40B4-BE49-F238E27FC236}">
                  <a16:creationId xmlns:a16="http://schemas.microsoft.com/office/drawing/2014/main" id="{00000000-0008-0000-0400-0000F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19</xdr:row>
          <xdr:rowOff>7620</xdr:rowOff>
        </xdr:from>
        <xdr:to>
          <xdr:col>8</xdr:col>
          <xdr:colOff>906780</xdr:colOff>
          <xdr:row>20</xdr:row>
          <xdr:rowOff>0</xdr:rowOff>
        </xdr:to>
        <xdr:sp macro="" textlink="">
          <xdr:nvSpPr>
            <xdr:cNvPr id="16632" name="Option Button 248" hidden="1">
              <a:extLst>
                <a:ext uri="{63B3BB69-23CF-44E3-9099-C40C66FF867C}">
                  <a14:compatExt spid="_x0000_s16632"/>
                </a:ext>
                <a:ext uri="{FF2B5EF4-FFF2-40B4-BE49-F238E27FC236}">
                  <a16:creationId xmlns:a16="http://schemas.microsoft.com/office/drawing/2014/main" id="{00000000-0008-0000-0400-0000F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674370</xdr:colOff>
          <xdr:row>20</xdr:row>
          <xdr:rowOff>0</xdr:rowOff>
        </xdr:from>
        <xdr:to>
          <xdr:col>8</xdr:col>
          <xdr:colOff>925830</xdr:colOff>
          <xdr:row>21</xdr:row>
          <xdr:rowOff>0</xdr:rowOff>
        </xdr:to>
        <xdr:sp macro="" textlink="">
          <xdr:nvSpPr>
            <xdr:cNvPr id="16633" name="Option Button 249" hidden="1">
              <a:extLst>
                <a:ext uri="{63B3BB69-23CF-44E3-9099-C40C66FF867C}">
                  <a14:compatExt spid="_x0000_s16633"/>
                </a:ext>
                <a:ext uri="{FF2B5EF4-FFF2-40B4-BE49-F238E27FC236}">
                  <a16:creationId xmlns:a16="http://schemas.microsoft.com/office/drawing/2014/main" id="{00000000-0008-0000-0400-0000F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674370</xdr:colOff>
          <xdr:row>21</xdr:row>
          <xdr:rowOff>7620</xdr:rowOff>
        </xdr:from>
        <xdr:to>
          <xdr:col>8</xdr:col>
          <xdr:colOff>925830</xdr:colOff>
          <xdr:row>22</xdr:row>
          <xdr:rowOff>0</xdr:rowOff>
        </xdr:to>
        <xdr:sp macro="" textlink="">
          <xdr:nvSpPr>
            <xdr:cNvPr id="16634" name="Option Button 250" hidden="1">
              <a:extLst>
                <a:ext uri="{63B3BB69-23CF-44E3-9099-C40C66FF867C}">
                  <a14:compatExt spid="_x0000_s16634"/>
                </a:ext>
                <a:ext uri="{FF2B5EF4-FFF2-40B4-BE49-F238E27FC236}">
                  <a16:creationId xmlns:a16="http://schemas.microsoft.com/office/drawing/2014/main" id="{00000000-0008-0000-0400-0000F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163830</xdr:colOff>
          <xdr:row>22</xdr:row>
          <xdr:rowOff>121920</xdr:rowOff>
        </xdr:from>
        <xdr:to>
          <xdr:col>8</xdr:col>
          <xdr:colOff>1436370</xdr:colOff>
          <xdr:row>26</xdr:row>
          <xdr:rowOff>57150</xdr:rowOff>
        </xdr:to>
        <xdr:sp macro="" textlink="">
          <xdr:nvSpPr>
            <xdr:cNvPr id="16635" name="Group Box 251" hidden="1">
              <a:extLst>
                <a:ext uri="{63B3BB69-23CF-44E3-9099-C40C66FF867C}">
                  <a14:compatExt spid="_x0000_s16635"/>
                </a:ext>
                <a:ext uri="{FF2B5EF4-FFF2-40B4-BE49-F238E27FC236}">
                  <a16:creationId xmlns:a16="http://schemas.microsoft.com/office/drawing/2014/main" id="{00000000-0008-0000-0400-0000F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23</xdr:row>
          <xdr:rowOff>7620</xdr:rowOff>
        </xdr:from>
        <xdr:to>
          <xdr:col>8</xdr:col>
          <xdr:colOff>906780</xdr:colOff>
          <xdr:row>24</xdr:row>
          <xdr:rowOff>0</xdr:rowOff>
        </xdr:to>
        <xdr:sp macro="" textlink="">
          <xdr:nvSpPr>
            <xdr:cNvPr id="16639" name="Option Button 255" hidden="1">
              <a:extLst>
                <a:ext uri="{63B3BB69-23CF-44E3-9099-C40C66FF867C}">
                  <a14:compatExt spid="_x0000_s16639"/>
                </a:ext>
                <a:ext uri="{FF2B5EF4-FFF2-40B4-BE49-F238E27FC236}">
                  <a16:creationId xmlns:a16="http://schemas.microsoft.com/office/drawing/2014/main" id="{00000000-0008-0000-0400-0000F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24</xdr:row>
          <xdr:rowOff>7620</xdr:rowOff>
        </xdr:from>
        <xdr:to>
          <xdr:col>8</xdr:col>
          <xdr:colOff>906780</xdr:colOff>
          <xdr:row>25</xdr:row>
          <xdr:rowOff>0</xdr:rowOff>
        </xdr:to>
        <xdr:sp macro="" textlink="">
          <xdr:nvSpPr>
            <xdr:cNvPr id="16640" name="Option Button 256" hidden="1">
              <a:extLst>
                <a:ext uri="{63B3BB69-23CF-44E3-9099-C40C66FF867C}">
                  <a14:compatExt spid="_x0000_s16640"/>
                </a:ext>
                <a:ext uri="{FF2B5EF4-FFF2-40B4-BE49-F238E27FC236}">
                  <a16:creationId xmlns:a16="http://schemas.microsoft.com/office/drawing/2014/main" id="{00000000-0008-0000-0400-00000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25</xdr:row>
          <xdr:rowOff>7620</xdr:rowOff>
        </xdr:from>
        <xdr:to>
          <xdr:col>8</xdr:col>
          <xdr:colOff>906780</xdr:colOff>
          <xdr:row>26</xdr:row>
          <xdr:rowOff>0</xdr:rowOff>
        </xdr:to>
        <xdr:sp macro="" textlink="">
          <xdr:nvSpPr>
            <xdr:cNvPr id="16641" name="Option Button 257" hidden="1">
              <a:extLst>
                <a:ext uri="{63B3BB69-23CF-44E3-9099-C40C66FF867C}">
                  <a14:compatExt spid="_x0000_s16641"/>
                </a:ext>
                <a:ext uri="{FF2B5EF4-FFF2-40B4-BE49-F238E27FC236}">
                  <a16:creationId xmlns:a16="http://schemas.microsoft.com/office/drawing/2014/main" id="{00000000-0008-0000-0400-00000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255270</xdr:rowOff>
        </xdr:from>
        <xdr:to>
          <xdr:col>8</xdr:col>
          <xdr:colOff>1485900</xdr:colOff>
          <xdr:row>30</xdr:row>
          <xdr:rowOff>49530</xdr:rowOff>
        </xdr:to>
        <xdr:sp macro="" textlink="">
          <xdr:nvSpPr>
            <xdr:cNvPr id="16642" name="Group Box 258" hidden="1">
              <a:extLst>
                <a:ext uri="{63B3BB69-23CF-44E3-9099-C40C66FF867C}">
                  <a14:compatExt spid="_x0000_s16642"/>
                </a:ext>
                <a:ext uri="{FF2B5EF4-FFF2-40B4-BE49-F238E27FC236}">
                  <a16:creationId xmlns:a16="http://schemas.microsoft.com/office/drawing/2014/main" id="{00000000-0008-0000-0400-00000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258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27</xdr:row>
          <xdr:rowOff>0</xdr:rowOff>
        </xdr:from>
        <xdr:to>
          <xdr:col>8</xdr:col>
          <xdr:colOff>914400</xdr:colOff>
          <xdr:row>28</xdr:row>
          <xdr:rowOff>0</xdr:rowOff>
        </xdr:to>
        <xdr:sp macro="" textlink="">
          <xdr:nvSpPr>
            <xdr:cNvPr id="16643" name="Option Button 259" hidden="1">
              <a:extLst>
                <a:ext uri="{63B3BB69-23CF-44E3-9099-C40C66FF867C}">
                  <a14:compatExt spid="_x0000_s16643"/>
                </a:ext>
                <a:ext uri="{FF2B5EF4-FFF2-40B4-BE49-F238E27FC236}">
                  <a16:creationId xmlns:a16="http://schemas.microsoft.com/office/drawing/2014/main" id="{00000000-0008-0000-0400-00000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28</xdr:row>
          <xdr:rowOff>0</xdr:rowOff>
        </xdr:from>
        <xdr:to>
          <xdr:col>8</xdr:col>
          <xdr:colOff>906780</xdr:colOff>
          <xdr:row>29</xdr:row>
          <xdr:rowOff>0</xdr:rowOff>
        </xdr:to>
        <xdr:sp macro="" textlink="">
          <xdr:nvSpPr>
            <xdr:cNvPr id="16644" name="Option Button 260" hidden="1">
              <a:extLst>
                <a:ext uri="{63B3BB69-23CF-44E3-9099-C40C66FF867C}">
                  <a14:compatExt spid="_x0000_s16644"/>
                </a:ext>
                <a:ext uri="{FF2B5EF4-FFF2-40B4-BE49-F238E27FC236}">
                  <a16:creationId xmlns:a16="http://schemas.microsoft.com/office/drawing/2014/main" id="{00000000-0008-0000-0400-00000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29</xdr:row>
          <xdr:rowOff>0</xdr:rowOff>
        </xdr:from>
        <xdr:to>
          <xdr:col>8</xdr:col>
          <xdr:colOff>906780</xdr:colOff>
          <xdr:row>30</xdr:row>
          <xdr:rowOff>0</xdr:rowOff>
        </xdr:to>
        <xdr:sp macro="" textlink="">
          <xdr:nvSpPr>
            <xdr:cNvPr id="16645" name="Option Button 261" hidden="1">
              <a:extLst>
                <a:ext uri="{63B3BB69-23CF-44E3-9099-C40C66FF867C}">
                  <a14:compatExt spid="_x0000_s16645"/>
                </a:ext>
                <a:ext uri="{FF2B5EF4-FFF2-40B4-BE49-F238E27FC236}">
                  <a16:creationId xmlns:a16="http://schemas.microsoft.com/office/drawing/2014/main" id="{00000000-0008-0000-0400-00000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30</xdr:row>
          <xdr:rowOff>125730</xdr:rowOff>
        </xdr:from>
        <xdr:to>
          <xdr:col>8</xdr:col>
          <xdr:colOff>1493520</xdr:colOff>
          <xdr:row>36</xdr:row>
          <xdr:rowOff>49530</xdr:rowOff>
        </xdr:to>
        <xdr:sp macro="" textlink="">
          <xdr:nvSpPr>
            <xdr:cNvPr id="16646" name="Group Box 262" hidden="1">
              <a:extLst>
                <a:ext uri="{63B3BB69-23CF-44E3-9099-C40C66FF867C}">
                  <a14:compatExt spid="_x0000_s16646"/>
                </a:ext>
                <a:ext uri="{FF2B5EF4-FFF2-40B4-BE49-F238E27FC236}">
                  <a16:creationId xmlns:a16="http://schemas.microsoft.com/office/drawing/2014/main" id="{00000000-0008-0000-0400-00000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31</xdr:row>
          <xdr:rowOff>7620</xdr:rowOff>
        </xdr:from>
        <xdr:to>
          <xdr:col>8</xdr:col>
          <xdr:colOff>906780</xdr:colOff>
          <xdr:row>32</xdr:row>
          <xdr:rowOff>0</xdr:rowOff>
        </xdr:to>
        <xdr:sp macro="" textlink="">
          <xdr:nvSpPr>
            <xdr:cNvPr id="16647" name="Option Button 263" hidden="1">
              <a:extLst>
                <a:ext uri="{63B3BB69-23CF-44E3-9099-C40C66FF867C}">
                  <a14:compatExt spid="_x0000_s16647"/>
                </a:ext>
                <a:ext uri="{FF2B5EF4-FFF2-40B4-BE49-F238E27FC236}">
                  <a16:creationId xmlns:a16="http://schemas.microsoft.com/office/drawing/2014/main" id="{00000000-0008-0000-0400-00000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32</xdr:row>
          <xdr:rowOff>64770</xdr:rowOff>
        </xdr:from>
        <xdr:to>
          <xdr:col>8</xdr:col>
          <xdr:colOff>906780</xdr:colOff>
          <xdr:row>32</xdr:row>
          <xdr:rowOff>304800</xdr:rowOff>
        </xdr:to>
        <xdr:sp macro="" textlink="">
          <xdr:nvSpPr>
            <xdr:cNvPr id="16648" name="Option Button 264" hidden="1">
              <a:extLst>
                <a:ext uri="{63B3BB69-23CF-44E3-9099-C40C66FF867C}">
                  <a14:compatExt spid="_x0000_s16648"/>
                </a:ext>
                <a:ext uri="{FF2B5EF4-FFF2-40B4-BE49-F238E27FC236}">
                  <a16:creationId xmlns:a16="http://schemas.microsoft.com/office/drawing/2014/main" id="{00000000-0008-0000-0400-00000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33</xdr:row>
          <xdr:rowOff>64770</xdr:rowOff>
        </xdr:from>
        <xdr:to>
          <xdr:col>8</xdr:col>
          <xdr:colOff>906780</xdr:colOff>
          <xdr:row>33</xdr:row>
          <xdr:rowOff>297180</xdr:rowOff>
        </xdr:to>
        <xdr:sp macro="" textlink="">
          <xdr:nvSpPr>
            <xdr:cNvPr id="16649" name="Option Button 265" hidden="1">
              <a:extLst>
                <a:ext uri="{63B3BB69-23CF-44E3-9099-C40C66FF867C}">
                  <a14:compatExt spid="_x0000_s16649"/>
                </a:ext>
                <a:ext uri="{FF2B5EF4-FFF2-40B4-BE49-F238E27FC236}">
                  <a16:creationId xmlns:a16="http://schemas.microsoft.com/office/drawing/2014/main" id="{00000000-0008-0000-0400-00000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34</xdr:row>
          <xdr:rowOff>64770</xdr:rowOff>
        </xdr:from>
        <xdr:to>
          <xdr:col>8</xdr:col>
          <xdr:colOff>906780</xdr:colOff>
          <xdr:row>34</xdr:row>
          <xdr:rowOff>297180</xdr:rowOff>
        </xdr:to>
        <xdr:sp macro="" textlink="">
          <xdr:nvSpPr>
            <xdr:cNvPr id="16650" name="Option Button 266" hidden="1">
              <a:extLst>
                <a:ext uri="{63B3BB69-23CF-44E3-9099-C40C66FF867C}">
                  <a14:compatExt spid="_x0000_s16650"/>
                </a:ext>
                <a:ext uri="{FF2B5EF4-FFF2-40B4-BE49-F238E27FC236}">
                  <a16:creationId xmlns:a16="http://schemas.microsoft.com/office/drawing/2014/main" id="{00000000-0008-0000-0400-00000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35</xdr:row>
          <xdr:rowOff>45720</xdr:rowOff>
        </xdr:from>
        <xdr:to>
          <xdr:col>8</xdr:col>
          <xdr:colOff>906780</xdr:colOff>
          <xdr:row>35</xdr:row>
          <xdr:rowOff>285750</xdr:rowOff>
        </xdr:to>
        <xdr:sp macro="" textlink="">
          <xdr:nvSpPr>
            <xdr:cNvPr id="16651" name="Option Button 267" hidden="1">
              <a:extLst>
                <a:ext uri="{63B3BB69-23CF-44E3-9099-C40C66FF867C}">
                  <a14:compatExt spid="_x0000_s16651"/>
                </a:ext>
                <a:ext uri="{FF2B5EF4-FFF2-40B4-BE49-F238E27FC236}">
                  <a16:creationId xmlns:a16="http://schemas.microsoft.com/office/drawing/2014/main" id="{00000000-0008-0000-0400-00000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36</xdr:row>
          <xdr:rowOff>125730</xdr:rowOff>
        </xdr:from>
        <xdr:to>
          <xdr:col>8</xdr:col>
          <xdr:colOff>1485900</xdr:colOff>
          <xdr:row>40</xdr:row>
          <xdr:rowOff>125730</xdr:rowOff>
        </xdr:to>
        <xdr:sp macro="" textlink="">
          <xdr:nvSpPr>
            <xdr:cNvPr id="16652" name="Group Box 268" hidden="1">
              <a:extLst>
                <a:ext uri="{63B3BB69-23CF-44E3-9099-C40C66FF867C}">
                  <a14:compatExt spid="_x0000_s16652"/>
                </a:ext>
                <a:ext uri="{FF2B5EF4-FFF2-40B4-BE49-F238E27FC236}">
                  <a16:creationId xmlns:a16="http://schemas.microsoft.com/office/drawing/2014/main" id="{00000000-0008-0000-0400-00000C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37</xdr:row>
          <xdr:rowOff>0</xdr:rowOff>
        </xdr:from>
        <xdr:to>
          <xdr:col>8</xdr:col>
          <xdr:colOff>906780</xdr:colOff>
          <xdr:row>38</xdr:row>
          <xdr:rowOff>0</xdr:rowOff>
        </xdr:to>
        <xdr:sp macro="" textlink="">
          <xdr:nvSpPr>
            <xdr:cNvPr id="16653" name="Option Button 269" hidden="1">
              <a:extLst>
                <a:ext uri="{63B3BB69-23CF-44E3-9099-C40C66FF867C}">
                  <a14:compatExt spid="_x0000_s16653"/>
                </a:ext>
                <a:ext uri="{FF2B5EF4-FFF2-40B4-BE49-F238E27FC236}">
                  <a16:creationId xmlns:a16="http://schemas.microsoft.com/office/drawing/2014/main" id="{00000000-0008-0000-0400-00000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38</xdr:row>
          <xdr:rowOff>0</xdr:rowOff>
        </xdr:from>
        <xdr:to>
          <xdr:col>8</xdr:col>
          <xdr:colOff>906780</xdr:colOff>
          <xdr:row>39</xdr:row>
          <xdr:rowOff>0</xdr:rowOff>
        </xdr:to>
        <xdr:sp macro="" textlink="">
          <xdr:nvSpPr>
            <xdr:cNvPr id="16654" name="Option Button 270" hidden="1">
              <a:extLst>
                <a:ext uri="{63B3BB69-23CF-44E3-9099-C40C66FF867C}">
                  <a14:compatExt spid="_x0000_s16654"/>
                </a:ext>
                <a:ext uri="{FF2B5EF4-FFF2-40B4-BE49-F238E27FC236}">
                  <a16:creationId xmlns:a16="http://schemas.microsoft.com/office/drawing/2014/main" id="{00000000-0008-0000-0400-00000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38</xdr:row>
          <xdr:rowOff>182880</xdr:rowOff>
        </xdr:from>
        <xdr:to>
          <xdr:col>8</xdr:col>
          <xdr:colOff>906780</xdr:colOff>
          <xdr:row>40</xdr:row>
          <xdr:rowOff>0</xdr:rowOff>
        </xdr:to>
        <xdr:sp macro="" textlink="">
          <xdr:nvSpPr>
            <xdr:cNvPr id="16655" name="Option Button 271" hidden="1">
              <a:extLst>
                <a:ext uri="{63B3BB69-23CF-44E3-9099-C40C66FF867C}">
                  <a14:compatExt spid="_x0000_s16655"/>
                </a:ext>
                <a:ext uri="{FF2B5EF4-FFF2-40B4-BE49-F238E27FC236}">
                  <a16:creationId xmlns:a16="http://schemas.microsoft.com/office/drawing/2014/main" id="{00000000-0008-0000-0400-00000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121920</xdr:colOff>
          <xdr:row>40</xdr:row>
          <xdr:rowOff>259080</xdr:rowOff>
        </xdr:from>
        <xdr:to>
          <xdr:col>8</xdr:col>
          <xdr:colOff>1504950</xdr:colOff>
          <xdr:row>45</xdr:row>
          <xdr:rowOff>49530</xdr:rowOff>
        </xdr:to>
        <xdr:sp macro="" textlink="">
          <xdr:nvSpPr>
            <xdr:cNvPr id="16656" name="Group Box 272" hidden="1">
              <a:extLst>
                <a:ext uri="{63B3BB69-23CF-44E3-9099-C40C66FF867C}">
                  <a14:compatExt spid="_x0000_s16656"/>
                </a:ext>
                <a:ext uri="{FF2B5EF4-FFF2-40B4-BE49-F238E27FC236}">
                  <a16:creationId xmlns:a16="http://schemas.microsoft.com/office/drawing/2014/main" id="{00000000-0008-0000-0400-000010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41</xdr:row>
          <xdr:rowOff>0</xdr:rowOff>
        </xdr:from>
        <xdr:to>
          <xdr:col>8</xdr:col>
          <xdr:colOff>914400</xdr:colOff>
          <xdr:row>42</xdr:row>
          <xdr:rowOff>0</xdr:rowOff>
        </xdr:to>
        <xdr:sp macro="" textlink="">
          <xdr:nvSpPr>
            <xdr:cNvPr id="16657" name="Option Button 273" hidden="1">
              <a:extLst>
                <a:ext uri="{63B3BB69-23CF-44E3-9099-C40C66FF867C}">
                  <a14:compatExt spid="_x0000_s16657"/>
                </a:ext>
                <a:ext uri="{FF2B5EF4-FFF2-40B4-BE49-F238E27FC236}">
                  <a16:creationId xmlns:a16="http://schemas.microsoft.com/office/drawing/2014/main" id="{00000000-0008-0000-0400-00001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42</xdr:row>
          <xdr:rowOff>7620</xdr:rowOff>
        </xdr:from>
        <xdr:to>
          <xdr:col>8</xdr:col>
          <xdr:colOff>906780</xdr:colOff>
          <xdr:row>43</xdr:row>
          <xdr:rowOff>0</xdr:rowOff>
        </xdr:to>
        <xdr:sp macro="" textlink="">
          <xdr:nvSpPr>
            <xdr:cNvPr id="16658" name="Option Button 274" hidden="1">
              <a:extLst>
                <a:ext uri="{63B3BB69-23CF-44E3-9099-C40C66FF867C}">
                  <a14:compatExt spid="_x0000_s16658"/>
                </a:ext>
                <a:ext uri="{FF2B5EF4-FFF2-40B4-BE49-F238E27FC236}">
                  <a16:creationId xmlns:a16="http://schemas.microsoft.com/office/drawing/2014/main" id="{00000000-0008-0000-0400-00001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43</xdr:row>
          <xdr:rowOff>0</xdr:rowOff>
        </xdr:from>
        <xdr:to>
          <xdr:col>8</xdr:col>
          <xdr:colOff>906780</xdr:colOff>
          <xdr:row>44</xdr:row>
          <xdr:rowOff>0</xdr:rowOff>
        </xdr:to>
        <xdr:sp macro="" textlink="">
          <xdr:nvSpPr>
            <xdr:cNvPr id="16659" name="Option Button 275" hidden="1">
              <a:extLst>
                <a:ext uri="{63B3BB69-23CF-44E3-9099-C40C66FF867C}">
                  <a14:compatExt spid="_x0000_s16659"/>
                </a:ext>
                <a:ext uri="{FF2B5EF4-FFF2-40B4-BE49-F238E27FC236}">
                  <a16:creationId xmlns:a16="http://schemas.microsoft.com/office/drawing/2014/main" id="{00000000-0008-0000-0400-00001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44</xdr:row>
          <xdr:rowOff>0</xdr:rowOff>
        </xdr:from>
        <xdr:to>
          <xdr:col>8</xdr:col>
          <xdr:colOff>906780</xdr:colOff>
          <xdr:row>45</xdr:row>
          <xdr:rowOff>0</xdr:rowOff>
        </xdr:to>
        <xdr:sp macro="" textlink="">
          <xdr:nvSpPr>
            <xdr:cNvPr id="16660" name="Option Button 276" hidden="1">
              <a:extLst>
                <a:ext uri="{63B3BB69-23CF-44E3-9099-C40C66FF867C}">
                  <a14:compatExt spid="_x0000_s16660"/>
                </a:ext>
                <a:ext uri="{FF2B5EF4-FFF2-40B4-BE49-F238E27FC236}">
                  <a16:creationId xmlns:a16="http://schemas.microsoft.com/office/drawing/2014/main" id="{00000000-0008-0000-0400-00001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121920</xdr:colOff>
          <xdr:row>45</xdr:row>
          <xdr:rowOff>133350</xdr:rowOff>
        </xdr:from>
        <xdr:to>
          <xdr:col>8</xdr:col>
          <xdr:colOff>1474470</xdr:colOff>
          <xdr:row>49</xdr:row>
          <xdr:rowOff>57150</xdr:rowOff>
        </xdr:to>
        <xdr:sp macro="" textlink="">
          <xdr:nvSpPr>
            <xdr:cNvPr id="16661" name="Group Box 277" hidden="1">
              <a:extLst>
                <a:ext uri="{63B3BB69-23CF-44E3-9099-C40C66FF867C}">
                  <a14:compatExt spid="_x0000_s16661"/>
                </a:ext>
                <a:ext uri="{FF2B5EF4-FFF2-40B4-BE49-F238E27FC236}">
                  <a16:creationId xmlns:a16="http://schemas.microsoft.com/office/drawing/2014/main" id="{00000000-0008-0000-0400-000015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46</xdr:row>
          <xdr:rowOff>11430</xdr:rowOff>
        </xdr:from>
        <xdr:to>
          <xdr:col>8</xdr:col>
          <xdr:colOff>906780</xdr:colOff>
          <xdr:row>47</xdr:row>
          <xdr:rowOff>0</xdr:rowOff>
        </xdr:to>
        <xdr:sp macro="" textlink="">
          <xdr:nvSpPr>
            <xdr:cNvPr id="16662" name="Option Button 278" hidden="1">
              <a:extLst>
                <a:ext uri="{63B3BB69-23CF-44E3-9099-C40C66FF867C}">
                  <a14:compatExt spid="_x0000_s16662"/>
                </a:ext>
                <a:ext uri="{FF2B5EF4-FFF2-40B4-BE49-F238E27FC236}">
                  <a16:creationId xmlns:a16="http://schemas.microsoft.com/office/drawing/2014/main" id="{00000000-0008-0000-0400-00001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47</xdr:row>
          <xdr:rowOff>0</xdr:rowOff>
        </xdr:from>
        <xdr:to>
          <xdr:col>8</xdr:col>
          <xdr:colOff>906780</xdr:colOff>
          <xdr:row>48</xdr:row>
          <xdr:rowOff>0</xdr:rowOff>
        </xdr:to>
        <xdr:sp macro="" textlink="">
          <xdr:nvSpPr>
            <xdr:cNvPr id="16663" name="Option Button 279" hidden="1">
              <a:extLst>
                <a:ext uri="{63B3BB69-23CF-44E3-9099-C40C66FF867C}">
                  <a14:compatExt spid="_x0000_s16663"/>
                </a:ext>
                <a:ext uri="{FF2B5EF4-FFF2-40B4-BE49-F238E27FC236}">
                  <a16:creationId xmlns:a16="http://schemas.microsoft.com/office/drawing/2014/main" id="{00000000-0008-0000-0400-00001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48</xdr:row>
          <xdr:rowOff>11430</xdr:rowOff>
        </xdr:from>
        <xdr:to>
          <xdr:col>8</xdr:col>
          <xdr:colOff>906780</xdr:colOff>
          <xdr:row>49</xdr:row>
          <xdr:rowOff>0</xdr:rowOff>
        </xdr:to>
        <xdr:sp macro="" textlink="">
          <xdr:nvSpPr>
            <xdr:cNvPr id="16664" name="Option Button 280" hidden="1">
              <a:extLst>
                <a:ext uri="{63B3BB69-23CF-44E3-9099-C40C66FF867C}">
                  <a14:compatExt spid="_x0000_s16664"/>
                </a:ext>
                <a:ext uri="{FF2B5EF4-FFF2-40B4-BE49-F238E27FC236}">
                  <a16:creationId xmlns:a16="http://schemas.microsoft.com/office/drawing/2014/main" id="{00000000-0008-0000-0400-00001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163830</xdr:colOff>
          <xdr:row>50</xdr:row>
          <xdr:rowOff>106680</xdr:rowOff>
        </xdr:from>
        <xdr:to>
          <xdr:col>8</xdr:col>
          <xdr:colOff>1504950</xdr:colOff>
          <xdr:row>53</xdr:row>
          <xdr:rowOff>57150</xdr:rowOff>
        </xdr:to>
        <xdr:sp macro="" textlink="">
          <xdr:nvSpPr>
            <xdr:cNvPr id="16665" name="Group Box 281" hidden="1">
              <a:extLst>
                <a:ext uri="{63B3BB69-23CF-44E3-9099-C40C66FF867C}">
                  <a14:compatExt spid="_x0000_s16665"/>
                </a:ext>
                <a:ext uri="{FF2B5EF4-FFF2-40B4-BE49-F238E27FC236}">
                  <a16:creationId xmlns:a16="http://schemas.microsoft.com/office/drawing/2014/main" id="{00000000-0008-0000-0400-00001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51</xdr:row>
          <xdr:rowOff>0</xdr:rowOff>
        </xdr:from>
        <xdr:to>
          <xdr:col>8</xdr:col>
          <xdr:colOff>906780</xdr:colOff>
          <xdr:row>52</xdr:row>
          <xdr:rowOff>0</xdr:rowOff>
        </xdr:to>
        <xdr:sp macro="" textlink="">
          <xdr:nvSpPr>
            <xdr:cNvPr id="16666" name="Option Button 282" hidden="1">
              <a:extLst>
                <a:ext uri="{63B3BB69-23CF-44E3-9099-C40C66FF867C}">
                  <a14:compatExt spid="_x0000_s16666"/>
                </a:ext>
                <a:ext uri="{FF2B5EF4-FFF2-40B4-BE49-F238E27FC236}">
                  <a16:creationId xmlns:a16="http://schemas.microsoft.com/office/drawing/2014/main" id="{00000000-0008-0000-0400-00001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51</xdr:row>
          <xdr:rowOff>198120</xdr:rowOff>
        </xdr:from>
        <xdr:to>
          <xdr:col>8</xdr:col>
          <xdr:colOff>906780</xdr:colOff>
          <xdr:row>53</xdr:row>
          <xdr:rowOff>0</xdr:rowOff>
        </xdr:to>
        <xdr:sp macro="" textlink="">
          <xdr:nvSpPr>
            <xdr:cNvPr id="16667" name="Option Button 283" hidden="1">
              <a:extLst>
                <a:ext uri="{63B3BB69-23CF-44E3-9099-C40C66FF867C}">
                  <a14:compatExt spid="_x0000_s16667"/>
                </a:ext>
                <a:ext uri="{FF2B5EF4-FFF2-40B4-BE49-F238E27FC236}">
                  <a16:creationId xmlns:a16="http://schemas.microsoft.com/office/drawing/2014/main" id="{00000000-0008-0000-0400-00001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125730</xdr:colOff>
          <xdr:row>53</xdr:row>
          <xdr:rowOff>106680</xdr:rowOff>
        </xdr:from>
        <xdr:to>
          <xdr:col>8</xdr:col>
          <xdr:colOff>1485900</xdr:colOff>
          <xdr:row>58</xdr:row>
          <xdr:rowOff>350520</xdr:rowOff>
        </xdr:to>
        <xdr:sp macro="" textlink="">
          <xdr:nvSpPr>
            <xdr:cNvPr id="16668" name="Group Box 284" hidden="1">
              <a:extLst>
                <a:ext uri="{63B3BB69-23CF-44E3-9099-C40C66FF867C}">
                  <a14:compatExt spid="_x0000_s16668"/>
                </a:ext>
                <a:ext uri="{FF2B5EF4-FFF2-40B4-BE49-F238E27FC236}">
                  <a16:creationId xmlns:a16="http://schemas.microsoft.com/office/drawing/2014/main" id="{00000000-0008-0000-0400-00001C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693420</xdr:colOff>
          <xdr:row>54</xdr:row>
          <xdr:rowOff>335280</xdr:rowOff>
        </xdr:from>
        <xdr:to>
          <xdr:col>8</xdr:col>
          <xdr:colOff>906780</xdr:colOff>
          <xdr:row>54</xdr:row>
          <xdr:rowOff>563880</xdr:rowOff>
        </xdr:to>
        <xdr:sp macro="" textlink="">
          <xdr:nvSpPr>
            <xdr:cNvPr id="16669" name="Option Button 285" hidden="1">
              <a:extLst>
                <a:ext uri="{63B3BB69-23CF-44E3-9099-C40C66FF867C}">
                  <a14:compatExt spid="_x0000_s16669"/>
                </a:ext>
                <a:ext uri="{FF2B5EF4-FFF2-40B4-BE49-F238E27FC236}">
                  <a16:creationId xmlns:a16="http://schemas.microsoft.com/office/drawing/2014/main" id="{00000000-0008-0000-0400-00001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55</xdr:row>
          <xdr:rowOff>144780</xdr:rowOff>
        </xdr:from>
        <xdr:to>
          <xdr:col>8</xdr:col>
          <xdr:colOff>906780</xdr:colOff>
          <xdr:row>55</xdr:row>
          <xdr:rowOff>373380</xdr:rowOff>
        </xdr:to>
        <xdr:sp macro="" textlink="">
          <xdr:nvSpPr>
            <xdr:cNvPr id="16670" name="Option Button 286" hidden="1">
              <a:extLst>
                <a:ext uri="{63B3BB69-23CF-44E3-9099-C40C66FF867C}">
                  <a14:compatExt spid="_x0000_s16670"/>
                </a:ext>
                <a:ext uri="{FF2B5EF4-FFF2-40B4-BE49-F238E27FC236}">
                  <a16:creationId xmlns:a16="http://schemas.microsoft.com/office/drawing/2014/main" id="{00000000-0008-0000-0400-00001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56</xdr:row>
          <xdr:rowOff>45720</xdr:rowOff>
        </xdr:from>
        <xdr:to>
          <xdr:col>8</xdr:col>
          <xdr:colOff>906780</xdr:colOff>
          <xdr:row>56</xdr:row>
          <xdr:rowOff>278130</xdr:rowOff>
        </xdr:to>
        <xdr:sp macro="" textlink="">
          <xdr:nvSpPr>
            <xdr:cNvPr id="16671" name="Option Button 287" hidden="1">
              <a:extLst>
                <a:ext uri="{63B3BB69-23CF-44E3-9099-C40C66FF867C}">
                  <a14:compatExt spid="_x0000_s16671"/>
                </a:ext>
                <a:ext uri="{FF2B5EF4-FFF2-40B4-BE49-F238E27FC236}">
                  <a16:creationId xmlns:a16="http://schemas.microsoft.com/office/drawing/2014/main" id="{00000000-0008-0000-0400-00001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57</xdr:row>
          <xdr:rowOff>7620</xdr:rowOff>
        </xdr:from>
        <xdr:to>
          <xdr:col>8</xdr:col>
          <xdr:colOff>906780</xdr:colOff>
          <xdr:row>58</xdr:row>
          <xdr:rowOff>0</xdr:rowOff>
        </xdr:to>
        <xdr:sp macro="" textlink="">
          <xdr:nvSpPr>
            <xdr:cNvPr id="16672" name="Option Button 288" hidden="1">
              <a:extLst>
                <a:ext uri="{63B3BB69-23CF-44E3-9099-C40C66FF867C}">
                  <a14:compatExt spid="_x0000_s16672"/>
                </a:ext>
                <a:ext uri="{FF2B5EF4-FFF2-40B4-BE49-F238E27FC236}">
                  <a16:creationId xmlns:a16="http://schemas.microsoft.com/office/drawing/2014/main" id="{00000000-0008-0000-0400-00002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58</xdr:row>
          <xdr:rowOff>407670</xdr:rowOff>
        </xdr:from>
        <xdr:to>
          <xdr:col>8</xdr:col>
          <xdr:colOff>1485900</xdr:colOff>
          <xdr:row>60</xdr:row>
          <xdr:rowOff>247650</xdr:rowOff>
        </xdr:to>
        <xdr:sp macro="" textlink="">
          <xdr:nvSpPr>
            <xdr:cNvPr id="16673" name="Group Box 289" hidden="1">
              <a:extLst>
                <a:ext uri="{63B3BB69-23CF-44E3-9099-C40C66FF867C}">
                  <a14:compatExt spid="_x0000_s16673"/>
                </a:ext>
                <a:ext uri="{FF2B5EF4-FFF2-40B4-BE49-F238E27FC236}">
                  <a16:creationId xmlns:a16="http://schemas.microsoft.com/office/drawing/2014/main" id="{00000000-0008-0000-0400-000021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59</xdr:row>
          <xdr:rowOff>0</xdr:rowOff>
        </xdr:from>
        <xdr:to>
          <xdr:col>8</xdr:col>
          <xdr:colOff>906780</xdr:colOff>
          <xdr:row>60</xdr:row>
          <xdr:rowOff>0</xdr:rowOff>
        </xdr:to>
        <xdr:sp macro="" textlink="">
          <xdr:nvSpPr>
            <xdr:cNvPr id="16674" name="Option Button 290" hidden="1">
              <a:extLst>
                <a:ext uri="{63B3BB69-23CF-44E3-9099-C40C66FF867C}">
                  <a14:compatExt spid="_x0000_s16674"/>
                </a:ext>
                <a:ext uri="{FF2B5EF4-FFF2-40B4-BE49-F238E27FC236}">
                  <a16:creationId xmlns:a16="http://schemas.microsoft.com/office/drawing/2014/main" id="{00000000-0008-0000-0400-00002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60</xdr:row>
          <xdr:rowOff>0</xdr:rowOff>
        </xdr:from>
        <xdr:to>
          <xdr:col>8</xdr:col>
          <xdr:colOff>906780</xdr:colOff>
          <xdr:row>60</xdr:row>
          <xdr:rowOff>198120</xdr:rowOff>
        </xdr:to>
        <xdr:sp macro="" textlink="">
          <xdr:nvSpPr>
            <xdr:cNvPr id="16675" name="Option Button 291" hidden="1">
              <a:extLst>
                <a:ext uri="{63B3BB69-23CF-44E3-9099-C40C66FF867C}">
                  <a14:compatExt spid="_x0000_s16675"/>
                </a:ext>
                <a:ext uri="{FF2B5EF4-FFF2-40B4-BE49-F238E27FC236}">
                  <a16:creationId xmlns:a16="http://schemas.microsoft.com/office/drawing/2014/main" id="{00000000-0008-0000-0400-00002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61</xdr:row>
          <xdr:rowOff>102870</xdr:rowOff>
        </xdr:from>
        <xdr:to>
          <xdr:col>9</xdr:col>
          <xdr:colOff>11430</xdr:colOff>
          <xdr:row>65</xdr:row>
          <xdr:rowOff>68580</xdr:rowOff>
        </xdr:to>
        <xdr:sp macro="" textlink="">
          <xdr:nvSpPr>
            <xdr:cNvPr id="16676" name="Group Box 292" hidden="1">
              <a:extLst>
                <a:ext uri="{63B3BB69-23CF-44E3-9099-C40C66FF867C}">
                  <a14:compatExt spid="_x0000_s16676"/>
                </a:ext>
                <a:ext uri="{FF2B5EF4-FFF2-40B4-BE49-F238E27FC236}">
                  <a16:creationId xmlns:a16="http://schemas.microsoft.com/office/drawing/2014/main" id="{00000000-0008-0000-0400-000024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62</xdr:row>
          <xdr:rowOff>0</xdr:rowOff>
        </xdr:from>
        <xdr:to>
          <xdr:col>8</xdr:col>
          <xdr:colOff>906780</xdr:colOff>
          <xdr:row>63</xdr:row>
          <xdr:rowOff>0</xdr:rowOff>
        </xdr:to>
        <xdr:sp macro="" textlink="">
          <xdr:nvSpPr>
            <xdr:cNvPr id="16677" name="Option Button 293" hidden="1">
              <a:extLst>
                <a:ext uri="{63B3BB69-23CF-44E3-9099-C40C66FF867C}">
                  <a14:compatExt spid="_x0000_s16677"/>
                </a:ext>
                <a:ext uri="{FF2B5EF4-FFF2-40B4-BE49-F238E27FC236}">
                  <a16:creationId xmlns:a16="http://schemas.microsoft.com/office/drawing/2014/main" id="{00000000-0008-0000-0400-00002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63</xdr:row>
          <xdr:rowOff>83820</xdr:rowOff>
        </xdr:from>
        <xdr:to>
          <xdr:col>8</xdr:col>
          <xdr:colOff>906780</xdr:colOff>
          <xdr:row>63</xdr:row>
          <xdr:rowOff>304800</xdr:rowOff>
        </xdr:to>
        <xdr:sp macro="" textlink="">
          <xdr:nvSpPr>
            <xdr:cNvPr id="16678" name="Option Button 294" hidden="1">
              <a:extLst>
                <a:ext uri="{63B3BB69-23CF-44E3-9099-C40C66FF867C}">
                  <a14:compatExt spid="_x0000_s16678"/>
                </a:ext>
                <a:ext uri="{FF2B5EF4-FFF2-40B4-BE49-F238E27FC236}">
                  <a16:creationId xmlns:a16="http://schemas.microsoft.com/office/drawing/2014/main" id="{00000000-0008-0000-0400-00002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678180</xdr:colOff>
          <xdr:row>64</xdr:row>
          <xdr:rowOff>83820</xdr:rowOff>
        </xdr:from>
        <xdr:to>
          <xdr:col>8</xdr:col>
          <xdr:colOff>906780</xdr:colOff>
          <xdr:row>64</xdr:row>
          <xdr:rowOff>304800</xdr:rowOff>
        </xdr:to>
        <xdr:sp macro="" textlink="">
          <xdr:nvSpPr>
            <xdr:cNvPr id="16679" name="Option Button 295" hidden="1">
              <a:extLst>
                <a:ext uri="{63B3BB69-23CF-44E3-9099-C40C66FF867C}">
                  <a14:compatExt spid="_x0000_s16679"/>
                </a:ext>
                <a:ext uri="{FF2B5EF4-FFF2-40B4-BE49-F238E27FC236}">
                  <a16:creationId xmlns:a16="http://schemas.microsoft.com/office/drawing/2014/main" id="{00000000-0008-0000-0400-00002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163830</xdr:colOff>
          <xdr:row>7</xdr:row>
          <xdr:rowOff>87630</xdr:rowOff>
        </xdr:from>
        <xdr:to>
          <xdr:col>10</xdr:col>
          <xdr:colOff>1493520</xdr:colOff>
          <xdr:row>12</xdr:row>
          <xdr:rowOff>38100</xdr:rowOff>
        </xdr:to>
        <xdr:sp macro="" textlink="">
          <xdr:nvSpPr>
            <xdr:cNvPr id="16680" name="Group Box 296" hidden="1">
              <a:extLst>
                <a:ext uri="{63B3BB69-23CF-44E3-9099-C40C66FF867C}">
                  <a14:compatExt spid="_x0000_s16680"/>
                </a:ext>
                <a:ext uri="{FF2B5EF4-FFF2-40B4-BE49-F238E27FC236}">
                  <a16:creationId xmlns:a16="http://schemas.microsoft.com/office/drawing/2014/main" id="{00000000-0008-0000-0400-000028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296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8</xdr:row>
          <xdr:rowOff>0</xdr:rowOff>
        </xdr:from>
        <xdr:to>
          <xdr:col>10</xdr:col>
          <xdr:colOff>906780</xdr:colOff>
          <xdr:row>9</xdr:row>
          <xdr:rowOff>0</xdr:rowOff>
        </xdr:to>
        <xdr:sp macro="" textlink="">
          <xdr:nvSpPr>
            <xdr:cNvPr id="16681" name="Option Button 297" hidden="1">
              <a:extLst>
                <a:ext uri="{63B3BB69-23CF-44E3-9099-C40C66FF867C}">
                  <a14:compatExt spid="_x0000_s16681"/>
                </a:ext>
                <a:ext uri="{FF2B5EF4-FFF2-40B4-BE49-F238E27FC236}">
                  <a16:creationId xmlns:a16="http://schemas.microsoft.com/office/drawing/2014/main" id="{00000000-0008-0000-0400-00002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9</xdr:row>
          <xdr:rowOff>7620</xdr:rowOff>
        </xdr:from>
        <xdr:to>
          <xdr:col>10</xdr:col>
          <xdr:colOff>906780</xdr:colOff>
          <xdr:row>10</xdr:row>
          <xdr:rowOff>0</xdr:rowOff>
        </xdr:to>
        <xdr:sp macro="" textlink="">
          <xdr:nvSpPr>
            <xdr:cNvPr id="16682" name="Option Button 298" hidden="1">
              <a:extLst>
                <a:ext uri="{63B3BB69-23CF-44E3-9099-C40C66FF867C}">
                  <a14:compatExt spid="_x0000_s16682"/>
                </a:ext>
                <a:ext uri="{FF2B5EF4-FFF2-40B4-BE49-F238E27FC236}">
                  <a16:creationId xmlns:a16="http://schemas.microsoft.com/office/drawing/2014/main" id="{00000000-0008-0000-0400-00002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10</xdr:row>
          <xdr:rowOff>0</xdr:rowOff>
        </xdr:from>
        <xdr:to>
          <xdr:col>10</xdr:col>
          <xdr:colOff>914400</xdr:colOff>
          <xdr:row>11</xdr:row>
          <xdr:rowOff>0</xdr:rowOff>
        </xdr:to>
        <xdr:sp macro="" textlink="">
          <xdr:nvSpPr>
            <xdr:cNvPr id="16683" name="Option Button 299" hidden="1">
              <a:extLst>
                <a:ext uri="{63B3BB69-23CF-44E3-9099-C40C66FF867C}">
                  <a14:compatExt spid="_x0000_s16683"/>
                </a:ext>
                <a:ext uri="{FF2B5EF4-FFF2-40B4-BE49-F238E27FC236}">
                  <a16:creationId xmlns:a16="http://schemas.microsoft.com/office/drawing/2014/main" id="{00000000-0008-0000-0400-00002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11</xdr:row>
          <xdr:rowOff>228600</xdr:rowOff>
        </xdr:from>
        <xdr:to>
          <xdr:col>10</xdr:col>
          <xdr:colOff>914400</xdr:colOff>
          <xdr:row>11</xdr:row>
          <xdr:rowOff>449580</xdr:rowOff>
        </xdr:to>
        <xdr:sp macro="" textlink="">
          <xdr:nvSpPr>
            <xdr:cNvPr id="16684" name="Option Button 300" hidden="1">
              <a:extLst>
                <a:ext uri="{63B3BB69-23CF-44E3-9099-C40C66FF867C}">
                  <a14:compatExt spid="_x0000_s16684"/>
                </a:ext>
                <a:ext uri="{FF2B5EF4-FFF2-40B4-BE49-F238E27FC236}">
                  <a16:creationId xmlns:a16="http://schemas.microsoft.com/office/drawing/2014/main" id="{00000000-0008-0000-0400-00002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12</xdr:row>
          <xdr:rowOff>87630</xdr:rowOff>
        </xdr:from>
        <xdr:to>
          <xdr:col>10</xdr:col>
          <xdr:colOff>1485900</xdr:colOff>
          <xdr:row>17</xdr:row>
          <xdr:rowOff>57150</xdr:rowOff>
        </xdr:to>
        <xdr:sp macro="" textlink="">
          <xdr:nvSpPr>
            <xdr:cNvPr id="16685" name="Group Box 301" hidden="1">
              <a:extLst>
                <a:ext uri="{63B3BB69-23CF-44E3-9099-C40C66FF867C}">
                  <a14:compatExt spid="_x0000_s16685"/>
                </a:ext>
                <a:ext uri="{FF2B5EF4-FFF2-40B4-BE49-F238E27FC236}">
                  <a16:creationId xmlns:a16="http://schemas.microsoft.com/office/drawing/2014/main" id="{00000000-0008-0000-0400-00002D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13</xdr:row>
          <xdr:rowOff>0</xdr:rowOff>
        </xdr:from>
        <xdr:to>
          <xdr:col>10</xdr:col>
          <xdr:colOff>906780</xdr:colOff>
          <xdr:row>14</xdr:row>
          <xdr:rowOff>0</xdr:rowOff>
        </xdr:to>
        <xdr:sp macro="" textlink="">
          <xdr:nvSpPr>
            <xdr:cNvPr id="16686" name="Option Button 302" hidden="1">
              <a:extLst>
                <a:ext uri="{63B3BB69-23CF-44E3-9099-C40C66FF867C}">
                  <a14:compatExt spid="_x0000_s16686"/>
                </a:ext>
                <a:ext uri="{FF2B5EF4-FFF2-40B4-BE49-F238E27FC236}">
                  <a16:creationId xmlns:a16="http://schemas.microsoft.com/office/drawing/2014/main" id="{00000000-0008-0000-0400-00002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14</xdr:row>
          <xdr:rowOff>7620</xdr:rowOff>
        </xdr:from>
        <xdr:to>
          <xdr:col>10</xdr:col>
          <xdr:colOff>906780</xdr:colOff>
          <xdr:row>15</xdr:row>
          <xdr:rowOff>0</xdr:rowOff>
        </xdr:to>
        <xdr:sp macro="" textlink="">
          <xdr:nvSpPr>
            <xdr:cNvPr id="16687" name="Option Button 303" hidden="1">
              <a:extLst>
                <a:ext uri="{63B3BB69-23CF-44E3-9099-C40C66FF867C}">
                  <a14:compatExt spid="_x0000_s16687"/>
                </a:ext>
                <a:ext uri="{FF2B5EF4-FFF2-40B4-BE49-F238E27FC236}">
                  <a16:creationId xmlns:a16="http://schemas.microsoft.com/office/drawing/2014/main" id="{00000000-0008-0000-0400-00002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15</xdr:row>
          <xdr:rowOff>140970</xdr:rowOff>
        </xdr:from>
        <xdr:to>
          <xdr:col>10</xdr:col>
          <xdr:colOff>906780</xdr:colOff>
          <xdr:row>15</xdr:row>
          <xdr:rowOff>373380</xdr:rowOff>
        </xdr:to>
        <xdr:sp macro="" textlink="">
          <xdr:nvSpPr>
            <xdr:cNvPr id="16688" name="Option Button 304" hidden="1">
              <a:extLst>
                <a:ext uri="{63B3BB69-23CF-44E3-9099-C40C66FF867C}">
                  <a14:compatExt spid="_x0000_s16688"/>
                </a:ext>
                <a:ext uri="{FF2B5EF4-FFF2-40B4-BE49-F238E27FC236}">
                  <a16:creationId xmlns:a16="http://schemas.microsoft.com/office/drawing/2014/main" id="{00000000-0008-0000-0400-00003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16</xdr:row>
          <xdr:rowOff>0</xdr:rowOff>
        </xdr:from>
        <xdr:to>
          <xdr:col>10</xdr:col>
          <xdr:colOff>906780</xdr:colOff>
          <xdr:row>17</xdr:row>
          <xdr:rowOff>0</xdr:rowOff>
        </xdr:to>
        <xdr:sp macro="" textlink="">
          <xdr:nvSpPr>
            <xdr:cNvPr id="16689" name="Option Button 305" hidden="1">
              <a:extLst>
                <a:ext uri="{63B3BB69-23CF-44E3-9099-C40C66FF867C}">
                  <a14:compatExt spid="_x0000_s16689"/>
                </a:ext>
                <a:ext uri="{FF2B5EF4-FFF2-40B4-BE49-F238E27FC236}">
                  <a16:creationId xmlns:a16="http://schemas.microsoft.com/office/drawing/2014/main" id="{00000000-0008-0000-0400-00003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121920</xdr:rowOff>
        </xdr:from>
        <xdr:to>
          <xdr:col>10</xdr:col>
          <xdr:colOff>1493520</xdr:colOff>
          <xdr:row>22</xdr:row>
          <xdr:rowOff>38100</xdr:rowOff>
        </xdr:to>
        <xdr:sp macro="" textlink="">
          <xdr:nvSpPr>
            <xdr:cNvPr id="16690" name="Group Box 306" hidden="1">
              <a:extLst>
                <a:ext uri="{63B3BB69-23CF-44E3-9099-C40C66FF867C}">
                  <a14:compatExt spid="_x0000_s16690"/>
                </a:ext>
                <a:ext uri="{FF2B5EF4-FFF2-40B4-BE49-F238E27FC236}">
                  <a16:creationId xmlns:a16="http://schemas.microsoft.com/office/drawing/2014/main" id="{00000000-0008-0000-0400-00003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18</xdr:row>
          <xdr:rowOff>0</xdr:rowOff>
        </xdr:from>
        <xdr:to>
          <xdr:col>10</xdr:col>
          <xdr:colOff>906780</xdr:colOff>
          <xdr:row>19</xdr:row>
          <xdr:rowOff>0</xdr:rowOff>
        </xdr:to>
        <xdr:sp macro="" textlink="">
          <xdr:nvSpPr>
            <xdr:cNvPr id="16691" name="Option Button 307" hidden="1">
              <a:extLst>
                <a:ext uri="{63B3BB69-23CF-44E3-9099-C40C66FF867C}">
                  <a14:compatExt spid="_x0000_s16691"/>
                </a:ext>
                <a:ext uri="{FF2B5EF4-FFF2-40B4-BE49-F238E27FC236}">
                  <a16:creationId xmlns:a16="http://schemas.microsoft.com/office/drawing/2014/main" id="{00000000-0008-0000-0400-00003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19</xdr:row>
          <xdr:rowOff>7620</xdr:rowOff>
        </xdr:from>
        <xdr:to>
          <xdr:col>10</xdr:col>
          <xdr:colOff>906780</xdr:colOff>
          <xdr:row>20</xdr:row>
          <xdr:rowOff>0</xdr:rowOff>
        </xdr:to>
        <xdr:sp macro="" textlink="">
          <xdr:nvSpPr>
            <xdr:cNvPr id="16692" name="Option Button 308" hidden="1">
              <a:extLst>
                <a:ext uri="{63B3BB69-23CF-44E3-9099-C40C66FF867C}">
                  <a14:compatExt spid="_x0000_s16692"/>
                </a:ext>
                <a:ext uri="{FF2B5EF4-FFF2-40B4-BE49-F238E27FC236}">
                  <a16:creationId xmlns:a16="http://schemas.microsoft.com/office/drawing/2014/main" id="{00000000-0008-0000-0400-00003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20</xdr:row>
          <xdr:rowOff>0</xdr:rowOff>
        </xdr:from>
        <xdr:to>
          <xdr:col>10</xdr:col>
          <xdr:colOff>906780</xdr:colOff>
          <xdr:row>21</xdr:row>
          <xdr:rowOff>0</xdr:rowOff>
        </xdr:to>
        <xdr:sp macro="" textlink="">
          <xdr:nvSpPr>
            <xdr:cNvPr id="16693" name="Option Button 309" hidden="1">
              <a:extLst>
                <a:ext uri="{63B3BB69-23CF-44E3-9099-C40C66FF867C}">
                  <a14:compatExt spid="_x0000_s16693"/>
                </a:ext>
                <a:ext uri="{FF2B5EF4-FFF2-40B4-BE49-F238E27FC236}">
                  <a16:creationId xmlns:a16="http://schemas.microsoft.com/office/drawing/2014/main" id="{00000000-0008-0000-0400-00003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21</xdr:row>
          <xdr:rowOff>11430</xdr:rowOff>
        </xdr:from>
        <xdr:to>
          <xdr:col>10</xdr:col>
          <xdr:colOff>895350</xdr:colOff>
          <xdr:row>22</xdr:row>
          <xdr:rowOff>0</xdr:rowOff>
        </xdr:to>
        <xdr:sp macro="" textlink="">
          <xdr:nvSpPr>
            <xdr:cNvPr id="16694" name="Option Button 310" hidden="1">
              <a:extLst>
                <a:ext uri="{63B3BB69-23CF-44E3-9099-C40C66FF867C}">
                  <a14:compatExt spid="_x0000_s16694"/>
                </a:ext>
                <a:ext uri="{FF2B5EF4-FFF2-40B4-BE49-F238E27FC236}">
                  <a16:creationId xmlns:a16="http://schemas.microsoft.com/office/drawing/2014/main" id="{00000000-0008-0000-0400-00003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22</xdr:row>
          <xdr:rowOff>83820</xdr:rowOff>
        </xdr:from>
        <xdr:to>
          <xdr:col>11</xdr:col>
          <xdr:colOff>0</xdr:colOff>
          <xdr:row>26</xdr:row>
          <xdr:rowOff>76200</xdr:rowOff>
        </xdr:to>
        <xdr:sp macro="" textlink="">
          <xdr:nvSpPr>
            <xdr:cNvPr id="16695" name="Group Box 311" hidden="1">
              <a:extLst>
                <a:ext uri="{63B3BB69-23CF-44E3-9099-C40C66FF867C}">
                  <a14:compatExt spid="_x0000_s16695"/>
                </a:ext>
                <a:ext uri="{FF2B5EF4-FFF2-40B4-BE49-F238E27FC236}">
                  <a16:creationId xmlns:a16="http://schemas.microsoft.com/office/drawing/2014/main" id="{00000000-0008-0000-0400-000037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23</xdr:row>
          <xdr:rowOff>0</xdr:rowOff>
        </xdr:from>
        <xdr:to>
          <xdr:col>10</xdr:col>
          <xdr:colOff>895350</xdr:colOff>
          <xdr:row>24</xdr:row>
          <xdr:rowOff>0</xdr:rowOff>
        </xdr:to>
        <xdr:sp macro="" textlink="">
          <xdr:nvSpPr>
            <xdr:cNvPr id="16696" name="Option Button 312" hidden="1">
              <a:extLst>
                <a:ext uri="{63B3BB69-23CF-44E3-9099-C40C66FF867C}">
                  <a14:compatExt spid="_x0000_s16696"/>
                </a:ext>
                <a:ext uri="{FF2B5EF4-FFF2-40B4-BE49-F238E27FC236}">
                  <a16:creationId xmlns:a16="http://schemas.microsoft.com/office/drawing/2014/main" id="{00000000-0008-0000-0400-00003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24</xdr:row>
          <xdr:rowOff>11430</xdr:rowOff>
        </xdr:from>
        <xdr:to>
          <xdr:col>10</xdr:col>
          <xdr:colOff>895350</xdr:colOff>
          <xdr:row>25</xdr:row>
          <xdr:rowOff>0</xdr:rowOff>
        </xdr:to>
        <xdr:sp macro="" textlink="">
          <xdr:nvSpPr>
            <xdr:cNvPr id="16697" name="Option Button 313" hidden="1">
              <a:extLst>
                <a:ext uri="{63B3BB69-23CF-44E3-9099-C40C66FF867C}">
                  <a14:compatExt spid="_x0000_s16697"/>
                </a:ext>
                <a:ext uri="{FF2B5EF4-FFF2-40B4-BE49-F238E27FC236}">
                  <a16:creationId xmlns:a16="http://schemas.microsoft.com/office/drawing/2014/main" id="{00000000-0008-0000-0400-00003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25</xdr:row>
          <xdr:rowOff>11430</xdr:rowOff>
        </xdr:from>
        <xdr:to>
          <xdr:col>10</xdr:col>
          <xdr:colOff>895350</xdr:colOff>
          <xdr:row>26</xdr:row>
          <xdr:rowOff>0</xdr:rowOff>
        </xdr:to>
        <xdr:sp macro="" textlink="">
          <xdr:nvSpPr>
            <xdr:cNvPr id="16698" name="Option Button 314" hidden="1">
              <a:extLst>
                <a:ext uri="{63B3BB69-23CF-44E3-9099-C40C66FF867C}">
                  <a14:compatExt spid="_x0000_s16698"/>
                </a:ext>
                <a:ext uri="{FF2B5EF4-FFF2-40B4-BE49-F238E27FC236}">
                  <a16:creationId xmlns:a16="http://schemas.microsoft.com/office/drawing/2014/main" id="{00000000-0008-0000-0400-00003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26</xdr:row>
          <xdr:rowOff>198120</xdr:rowOff>
        </xdr:from>
        <xdr:to>
          <xdr:col>11</xdr:col>
          <xdr:colOff>30480</xdr:colOff>
          <xdr:row>30</xdr:row>
          <xdr:rowOff>49530</xdr:rowOff>
        </xdr:to>
        <xdr:sp macro="" textlink="">
          <xdr:nvSpPr>
            <xdr:cNvPr id="16699" name="Group Box 315" hidden="1">
              <a:extLst>
                <a:ext uri="{63B3BB69-23CF-44E3-9099-C40C66FF867C}">
                  <a14:compatExt spid="_x0000_s16699"/>
                </a:ext>
                <a:ext uri="{FF2B5EF4-FFF2-40B4-BE49-F238E27FC236}">
                  <a16:creationId xmlns:a16="http://schemas.microsoft.com/office/drawing/2014/main" id="{00000000-0008-0000-0400-00003B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27</xdr:row>
          <xdr:rowOff>0</xdr:rowOff>
        </xdr:from>
        <xdr:to>
          <xdr:col>10</xdr:col>
          <xdr:colOff>887730</xdr:colOff>
          <xdr:row>28</xdr:row>
          <xdr:rowOff>0</xdr:rowOff>
        </xdr:to>
        <xdr:sp macro="" textlink="">
          <xdr:nvSpPr>
            <xdr:cNvPr id="16700" name="Option Button 316" hidden="1">
              <a:extLst>
                <a:ext uri="{63B3BB69-23CF-44E3-9099-C40C66FF867C}">
                  <a14:compatExt spid="_x0000_s16700"/>
                </a:ext>
                <a:ext uri="{FF2B5EF4-FFF2-40B4-BE49-F238E27FC236}">
                  <a16:creationId xmlns:a16="http://schemas.microsoft.com/office/drawing/2014/main" id="{00000000-0008-0000-0400-00003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28</xdr:row>
          <xdr:rowOff>0</xdr:rowOff>
        </xdr:from>
        <xdr:to>
          <xdr:col>10</xdr:col>
          <xdr:colOff>887730</xdr:colOff>
          <xdr:row>29</xdr:row>
          <xdr:rowOff>0</xdr:rowOff>
        </xdr:to>
        <xdr:sp macro="" textlink="">
          <xdr:nvSpPr>
            <xdr:cNvPr id="16701" name="Option Button 317" hidden="1">
              <a:extLst>
                <a:ext uri="{63B3BB69-23CF-44E3-9099-C40C66FF867C}">
                  <a14:compatExt spid="_x0000_s16701"/>
                </a:ext>
                <a:ext uri="{FF2B5EF4-FFF2-40B4-BE49-F238E27FC236}">
                  <a16:creationId xmlns:a16="http://schemas.microsoft.com/office/drawing/2014/main" id="{00000000-0008-0000-0400-00003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29</xdr:row>
          <xdr:rowOff>0</xdr:rowOff>
        </xdr:from>
        <xdr:to>
          <xdr:col>10</xdr:col>
          <xdr:colOff>887730</xdr:colOff>
          <xdr:row>30</xdr:row>
          <xdr:rowOff>0</xdr:rowOff>
        </xdr:to>
        <xdr:sp macro="" textlink="">
          <xdr:nvSpPr>
            <xdr:cNvPr id="16702" name="Option Button 318" hidden="1">
              <a:extLst>
                <a:ext uri="{63B3BB69-23CF-44E3-9099-C40C66FF867C}">
                  <a14:compatExt spid="_x0000_s16702"/>
                </a:ext>
                <a:ext uri="{FF2B5EF4-FFF2-40B4-BE49-F238E27FC236}">
                  <a16:creationId xmlns:a16="http://schemas.microsoft.com/office/drawing/2014/main" id="{00000000-0008-0000-0400-00003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30</xdr:row>
          <xdr:rowOff>121920</xdr:rowOff>
        </xdr:from>
        <xdr:to>
          <xdr:col>10</xdr:col>
          <xdr:colOff>1504950</xdr:colOff>
          <xdr:row>36</xdr:row>
          <xdr:rowOff>68580</xdr:rowOff>
        </xdr:to>
        <xdr:sp macro="" textlink="">
          <xdr:nvSpPr>
            <xdr:cNvPr id="16703" name="Group Box 319" hidden="1">
              <a:extLst>
                <a:ext uri="{63B3BB69-23CF-44E3-9099-C40C66FF867C}">
                  <a14:compatExt spid="_x0000_s16703"/>
                </a:ext>
                <a:ext uri="{FF2B5EF4-FFF2-40B4-BE49-F238E27FC236}">
                  <a16:creationId xmlns:a16="http://schemas.microsoft.com/office/drawing/2014/main" id="{00000000-0008-0000-0400-00003F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31</xdr:row>
          <xdr:rowOff>11430</xdr:rowOff>
        </xdr:from>
        <xdr:to>
          <xdr:col>10</xdr:col>
          <xdr:colOff>895350</xdr:colOff>
          <xdr:row>32</xdr:row>
          <xdr:rowOff>0</xdr:rowOff>
        </xdr:to>
        <xdr:sp macro="" textlink="">
          <xdr:nvSpPr>
            <xdr:cNvPr id="16704" name="Option Button 320" hidden="1">
              <a:extLst>
                <a:ext uri="{63B3BB69-23CF-44E3-9099-C40C66FF867C}">
                  <a14:compatExt spid="_x0000_s16704"/>
                </a:ext>
                <a:ext uri="{FF2B5EF4-FFF2-40B4-BE49-F238E27FC236}">
                  <a16:creationId xmlns:a16="http://schemas.microsoft.com/office/drawing/2014/main" id="{00000000-0008-0000-0400-00004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32</xdr:row>
          <xdr:rowOff>68580</xdr:rowOff>
        </xdr:from>
        <xdr:to>
          <xdr:col>10</xdr:col>
          <xdr:colOff>895350</xdr:colOff>
          <xdr:row>32</xdr:row>
          <xdr:rowOff>304800</xdr:rowOff>
        </xdr:to>
        <xdr:sp macro="" textlink="">
          <xdr:nvSpPr>
            <xdr:cNvPr id="16705" name="Option Button 321" hidden="1">
              <a:extLst>
                <a:ext uri="{63B3BB69-23CF-44E3-9099-C40C66FF867C}">
                  <a14:compatExt spid="_x0000_s16705"/>
                </a:ext>
                <a:ext uri="{FF2B5EF4-FFF2-40B4-BE49-F238E27FC236}">
                  <a16:creationId xmlns:a16="http://schemas.microsoft.com/office/drawing/2014/main" id="{00000000-0008-0000-0400-00004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33</xdr:row>
          <xdr:rowOff>68580</xdr:rowOff>
        </xdr:from>
        <xdr:to>
          <xdr:col>10</xdr:col>
          <xdr:colOff>895350</xdr:colOff>
          <xdr:row>33</xdr:row>
          <xdr:rowOff>297180</xdr:rowOff>
        </xdr:to>
        <xdr:sp macro="" textlink="">
          <xdr:nvSpPr>
            <xdr:cNvPr id="16706" name="Option Button 322" hidden="1">
              <a:extLst>
                <a:ext uri="{63B3BB69-23CF-44E3-9099-C40C66FF867C}">
                  <a14:compatExt spid="_x0000_s16706"/>
                </a:ext>
                <a:ext uri="{FF2B5EF4-FFF2-40B4-BE49-F238E27FC236}">
                  <a16:creationId xmlns:a16="http://schemas.microsoft.com/office/drawing/2014/main" id="{00000000-0008-0000-0400-00004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34</xdr:row>
          <xdr:rowOff>68580</xdr:rowOff>
        </xdr:from>
        <xdr:to>
          <xdr:col>10</xdr:col>
          <xdr:colOff>895350</xdr:colOff>
          <xdr:row>34</xdr:row>
          <xdr:rowOff>297180</xdr:rowOff>
        </xdr:to>
        <xdr:sp macro="" textlink="">
          <xdr:nvSpPr>
            <xdr:cNvPr id="16707" name="Option Button 323" hidden="1">
              <a:extLst>
                <a:ext uri="{63B3BB69-23CF-44E3-9099-C40C66FF867C}">
                  <a14:compatExt spid="_x0000_s16707"/>
                </a:ext>
                <a:ext uri="{FF2B5EF4-FFF2-40B4-BE49-F238E27FC236}">
                  <a16:creationId xmlns:a16="http://schemas.microsoft.com/office/drawing/2014/main" id="{00000000-0008-0000-0400-00004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35</xdr:row>
          <xdr:rowOff>68580</xdr:rowOff>
        </xdr:from>
        <xdr:to>
          <xdr:col>10</xdr:col>
          <xdr:colOff>895350</xdr:colOff>
          <xdr:row>35</xdr:row>
          <xdr:rowOff>297180</xdr:rowOff>
        </xdr:to>
        <xdr:sp macro="" textlink="">
          <xdr:nvSpPr>
            <xdr:cNvPr id="16708" name="Option Button 324" hidden="1">
              <a:extLst>
                <a:ext uri="{63B3BB69-23CF-44E3-9099-C40C66FF867C}">
                  <a14:compatExt spid="_x0000_s16708"/>
                </a:ext>
                <a:ext uri="{FF2B5EF4-FFF2-40B4-BE49-F238E27FC236}">
                  <a16:creationId xmlns:a16="http://schemas.microsoft.com/office/drawing/2014/main" id="{00000000-0008-0000-0400-00004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179070</xdr:colOff>
          <xdr:row>36</xdr:row>
          <xdr:rowOff>102870</xdr:rowOff>
        </xdr:from>
        <xdr:to>
          <xdr:col>11</xdr:col>
          <xdr:colOff>0</xdr:colOff>
          <xdr:row>40</xdr:row>
          <xdr:rowOff>106680</xdr:rowOff>
        </xdr:to>
        <xdr:sp macro="" textlink="">
          <xdr:nvSpPr>
            <xdr:cNvPr id="16709" name="Group Box 325" hidden="1">
              <a:extLst>
                <a:ext uri="{63B3BB69-23CF-44E3-9099-C40C66FF867C}">
                  <a14:compatExt spid="_x0000_s16709"/>
                </a:ext>
                <a:ext uri="{FF2B5EF4-FFF2-40B4-BE49-F238E27FC236}">
                  <a16:creationId xmlns:a16="http://schemas.microsoft.com/office/drawing/2014/main" id="{00000000-0008-0000-0400-000045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37</xdr:row>
          <xdr:rowOff>0</xdr:rowOff>
        </xdr:from>
        <xdr:to>
          <xdr:col>10</xdr:col>
          <xdr:colOff>906780</xdr:colOff>
          <xdr:row>38</xdr:row>
          <xdr:rowOff>0</xdr:rowOff>
        </xdr:to>
        <xdr:sp macro="" textlink="">
          <xdr:nvSpPr>
            <xdr:cNvPr id="16710" name="Option Button 326" hidden="1">
              <a:extLst>
                <a:ext uri="{63B3BB69-23CF-44E3-9099-C40C66FF867C}">
                  <a14:compatExt spid="_x0000_s16710"/>
                </a:ext>
                <a:ext uri="{FF2B5EF4-FFF2-40B4-BE49-F238E27FC236}">
                  <a16:creationId xmlns:a16="http://schemas.microsoft.com/office/drawing/2014/main" id="{00000000-0008-0000-0400-00004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38</xdr:row>
          <xdr:rowOff>11430</xdr:rowOff>
        </xdr:from>
        <xdr:to>
          <xdr:col>10</xdr:col>
          <xdr:colOff>906780</xdr:colOff>
          <xdr:row>39</xdr:row>
          <xdr:rowOff>0</xdr:rowOff>
        </xdr:to>
        <xdr:sp macro="" textlink="">
          <xdr:nvSpPr>
            <xdr:cNvPr id="16711" name="Option Button 327" hidden="1">
              <a:extLst>
                <a:ext uri="{63B3BB69-23CF-44E3-9099-C40C66FF867C}">
                  <a14:compatExt spid="_x0000_s16711"/>
                </a:ext>
                <a:ext uri="{FF2B5EF4-FFF2-40B4-BE49-F238E27FC236}">
                  <a16:creationId xmlns:a16="http://schemas.microsoft.com/office/drawing/2014/main" id="{00000000-0008-0000-0400-00004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38</xdr:row>
          <xdr:rowOff>182880</xdr:rowOff>
        </xdr:from>
        <xdr:to>
          <xdr:col>10</xdr:col>
          <xdr:colOff>906780</xdr:colOff>
          <xdr:row>40</xdr:row>
          <xdr:rowOff>0</xdr:rowOff>
        </xdr:to>
        <xdr:sp macro="" textlink="">
          <xdr:nvSpPr>
            <xdr:cNvPr id="16712" name="Option Button 328" hidden="1">
              <a:extLst>
                <a:ext uri="{63B3BB69-23CF-44E3-9099-C40C66FF867C}">
                  <a14:compatExt spid="_x0000_s16712"/>
                </a:ext>
                <a:ext uri="{FF2B5EF4-FFF2-40B4-BE49-F238E27FC236}">
                  <a16:creationId xmlns:a16="http://schemas.microsoft.com/office/drawing/2014/main" id="{00000000-0008-0000-0400-00004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140970</xdr:colOff>
          <xdr:row>40</xdr:row>
          <xdr:rowOff>247650</xdr:rowOff>
        </xdr:from>
        <xdr:to>
          <xdr:col>10</xdr:col>
          <xdr:colOff>1485900</xdr:colOff>
          <xdr:row>45</xdr:row>
          <xdr:rowOff>57150</xdr:rowOff>
        </xdr:to>
        <xdr:sp macro="" textlink="">
          <xdr:nvSpPr>
            <xdr:cNvPr id="16713" name="Group Box 329" hidden="1">
              <a:extLst>
                <a:ext uri="{63B3BB69-23CF-44E3-9099-C40C66FF867C}">
                  <a14:compatExt spid="_x0000_s16713"/>
                </a:ext>
                <a:ext uri="{FF2B5EF4-FFF2-40B4-BE49-F238E27FC236}">
                  <a16:creationId xmlns:a16="http://schemas.microsoft.com/office/drawing/2014/main" id="{00000000-0008-0000-0400-00004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329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41</xdr:row>
          <xdr:rowOff>0</xdr:rowOff>
        </xdr:from>
        <xdr:to>
          <xdr:col>10</xdr:col>
          <xdr:colOff>906780</xdr:colOff>
          <xdr:row>42</xdr:row>
          <xdr:rowOff>0</xdr:rowOff>
        </xdr:to>
        <xdr:sp macro="" textlink="">
          <xdr:nvSpPr>
            <xdr:cNvPr id="16718" name="Option Button 334" hidden="1">
              <a:extLst>
                <a:ext uri="{63B3BB69-23CF-44E3-9099-C40C66FF867C}">
                  <a14:compatExt spid="_x0000_s16718"/>
                </a:ext>
                <a:ext uri="{FF2B5EF4-FFF2-40B4-BE49-F238E27FC236}">
                  <a16:creationId xmlns:a16="http://schemas.microsoft.com/office/drawing/2014/main" id="{00000000-0008-0000-0400-00004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42</xdr:row>
          <xdr:rowOff>11430</xdr:rowOff>
        </xdr:from>
        <xdr:to>
          <xdr:col>10</xdr:col>
          <xdr:colOff>906780</xdr:colOff>
          <xdr:row>43</xdr:row>
          <xdr:rowOff>0</xdr:rowOff>
        </xdr:to>
        <xdr:sp macro="" textlink="">
          <xdr:nvSpPr>
            <xdr:cNvPr id="16719" name="Option Button 335" hidden="1">
              <a:extLst>
                <a:ext uri="{63B3BB69-23CF-44E3-9099-C40C66FF867C}">
                  <a14:compatExt spid="_x0000_s16719"/>
                </a:ext>
                <a:ext uri="{FF2B5EF4-FFF2-40B4-BE49-F238E27FC236}">
                  <a16:creationId xmlns:a16="http://schemas.microsoft.com/office/drawing/2014/main" id="{00000000-0008-0000-0400-00004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43</xdr:row>
          <xdr:rowOff>11430</xdr:rowOff>
        </xdr:from>
        <xdr:to>
          <xdr:col>10</xdr:col>
          <xdr:colOff>906780</xdr:colOff>
          <xdr:row>44</xdr:row>
          <xdr:rowOff>0</xdr:rowOff>
        </xdr:to>
        <xdr:sp macro="" textlink="">
          <xdr:nvSpPr>
            <xdr:cNvPr id="16720" name="Option Button 336" hidden="1">
              <a:extLst>
                <a:ext uri="{63B3BB69-23CF-44E3-9099-C40C66FF867C}">
                  <a14:compatExt spid="_x0000_s16720"/>
                </a:ext>
                <a:ext uri="{FF2B5EF4-FFF2-40B4-BE49-F238E27FC236}">
                  <a16:creationId xmlns:a16="http://schemas.microsoft.com/office/drawing/2014/main" id="{00000000-0008-0000-0400-00005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674370</xdr:colOff>
          <xdr:row>44</xdr:row>
          <xdr:rowOff>11430</xdr:rowOff>
        </xdr:from>
        <xdr:to>
          <xdr:col>10</xdr:col>
          <xdr:colOff>906780</xdr:colOff>
          <xdr:row>45</xdr:row>
          <xdr:rowOff>0</xdr:rowOff>
        </xdr:to>
        <xdr:sp macro="" textlink="">
          <xdr:nvSpPr>
            <xdr:cNvPr id="16721" name="Option Button 337" hidden="1">
              <a:extLst>
                <a:ext uri="{63B3BB69-23CF-44E3-9099-C40C66FF867C}">
                  <a14:compatExt spid="_x0000_s16721"/>
                </a:ext>
                <a:ext uri="{FF2B5EF4-FFF2-40B4-BE49-F238E27FC236}">
                  <a16:creationId xmlns:a16="http://schemas.microsoft.com/office/drawing/2014/main" id="{00000000-0008-0000-0400-00005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83820</xdr:colOff>
          <xdr:row>45</xdr:row>
          <xdr:rowOff>87630</xdr:rowOff>
        </xdr:from>
        <xdr:to>
          <xdr:col>11</xdr:col>
          <xdr:colOff>49530</xdr:colOff>
          <xdr:row>49</xdr:row>
          <xdr:rowOff>125730</xdr:rowOff>
        </xdr:to>
        <xdr:sp macro="" textlink="">
          <xdr:nvSpPr>
            <xdr:cNvPr id="16722" name="Group Box 338" hidden="1">
              <a:extLst>
                <a:ext uri="{63B3BB69-23CF-44E3-9099-C40C66FF867C}">
                  <a14:compatExt spid="_x0000_s16722"/>
                </a:ext>
                <a:ext uri="{FF2B5EF4-FFF2-40B4-BE49-F238E27FC236}">
                  <a16:creationId xmlns:a16="http://schemas.microsoft.com/office/drawing/2014/main" id="{00000000-0008-0000-0400-00005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338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46</xdr:row>
          <xdr:rowOff>11430</xdr:rowOff>
        </xdr:from>
        <xdr:to>
          <xdr:col>10</xdr:col>
          <xdr:colOff>895350</xdr:colOff>
          <xdr:row>47</xdr:row>
          <xdr:rowOff>0</xdr:rowOff>
        </xdr:to>
        <xdr:sp macro="" textlink="">
          <xdr:nvSpPr>
            <xdr:cNvPr id="16723" name="Option Button 339" hidden="1">
              <a:extLst>
                <a:ext uri="{63B3BB69-23CF-44E3-9099-C40C66FF867C}">
                  <a14:compatExt spid="_x0000_s16723"/>
                </a:ext>
                <a:ext uri="{FF2B5EF4-FFF2-40B4-BE49-F238E27FC236}">
                  <a16:creationId xmlns:a16="http://schemas.microsoft.com/office/drawing/2014/main" id="{00000000-0008-0000-0400-00005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47</xdr:row>
          <xdr:rowOff>0</xdr:rowOff>
        </xdr:from>
        <xdr:to>
          <xdr:col>10</xdr:col>
          <xdr:colOff>895350</xdr:colOff>
          <xdr:row>48</xdr:row>
          <xdr:rowOff>0</xdr:rowOff>
        </xdr:to>
        <xdr:sp macro="" textlink="">
          <xdr:nvSpPr>
            <xdr:cNvPr id="16724" name="Option Button 340" hidden="1">
              <a:extLst>
                <a:ext uri="{63B3BB69-23CF-44E3-9099-C40C66FF867C}">
                  <a14:compatExt spid="_x0000_s16724"/>
                </a:ext>
                <a:ext uri="{FF2B5EF4-FFF2-40B4-BE49-F238E27FC236}">
                  <a16:creationId xmlns:a16="http://schemas.microsoft.com/office/drawing/2014/main" id="{00000000-0008-0000-0400-00005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48</xdr:row>
          <xdr:rowOff>0</xdr:rowOff>
        </xdr:from>
        <xdr:to>
          <xdr:col>10</xdr:col>
          <xdr:colOff>895350</xdr:colOff>
          <xdr:row>49</xdr:row>
          <xdr:rowOff>0</xdr:rowOff>
        </xdr:to>
        <xdr:sp macro="" textlink="">
          <xdr:nvSpPr>
            <xdr:cNvPr id="16725" name="Option Button 341" hidden="1">
              <a:extLst>
                <a:ext uri="{63B3BB69-23CF-44E3-9099-C40C66FF867C}">
                  <a14:compatExt spid="_x0000_s16725"/>
                </a:ext>
                <a:ext uri="{FF2B5EF4-FFF2-40B4-BE49-F238E27FC236}">
                  <a16:creationId xmlns:a16="http://schemas.microsoft.com/office/drawing/2014/main" id="{00000000-0008-0000-0400-00005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50</xdr:row>
          <xdr:rowOff>106680</xdr:rowOff>
        </xdr:from>
        <xdr:to>
          <xdr:col>10</xdr:col>
          <xdr:colOff>1504950</xdr:colOff>
          <xdr:row>53</xdr:row>
          <xdr:rowOff>68580</xdr:rowOff>
        </xdr:to>
        <xdr:sp macro="" textlink="">
          <xdr:nvSpPr>
            <xdr:cNvPr id="16726" name="Group Box 342" hidden="1">
              <a:extLst>
                <a:ext uri="{63B3BB69-23CF-44E3-9099-C40C66FF867C}">
                  <a14:compatExt spid="_x0000_s16726"/>
                </a:ext>
                <a:ext uri="{FF2B5EF4-FFF2-40B4-BE49-F238E27FC236}">
                  <a16:creationId xmlns:a16="http://schemas.microsoft.com/office/drawing/2014/main" id="{00000000-0008-0000-0400-00005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342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51</xdr:row>
          <xdr:rowOff>0</xdr:rowOff>
        </xdr:from>
        <xdr:to>
          <xdr:col>10</xdr:col>
          <xdr:colOff>895350</xdr:colOff>
          <xdr:row>52</xdr:row>
          <xdr:rowOff>0</xdr:rowOff>
        </xdr:to>
        <xdr:sp macro="" textlink="">
          <xdr:nvSpPr>
            <xdr:cNvPr id="16727" name="Option Button 343" hidden="1">
              <a:extLst>
                <a:ext uri="{63B3BB69-23CF-44E3-9099-C40C66FF867C}">
                  <a14:compatExt spid="_x0000_s16727"/>
                </a:ext>
                <a:ext uri="{FF2B5EF4-FFF2-40B4-BE49-F238E27FC236}">
                  <a16:creationId xmlns:a16="http://schemas.microsoft.com/office/drawing/2014/main" id="{00000000-0008-0000-0400-00005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52</xdr:row>
          <xdr:rowOff>0</xdr:rowOff>
        </xdr:from>
        <xdr:to>
          <xdr:col>10</xdr:col>
          <xdr:colOff>895350</xdr:colOff>
          <xdr:row>53</xdr:row>
          <xdr:rowOff>0</xdr:rowOff>
        </xdr:to>
        <xdr:sp macro="" textlink="">
          <xdr:nvSpPr>
            <xdr:cNvPr id="16728" name="Option Button 344" hidden="1">
              <a:extLst>
                <a:ext uri="{63B3BB69-23CF-44E3-9099-C40C66FF867C}">
                  <a14:compatExt spid="_x0000_s16728"/>
                </a:ext>
                <a:ext uri="{FF2B5EF4-FFF2-40B4-BE49-F238E27FC236}">
                  <a16:creationId xmlns:a16="http://schemas.microsoft.com/office/drawing/2014/main" id="{00000000-0008-0000-0400-00005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53</xdr:row>
          <xdr:rowOff>144780</xdr:rowOff>
        </xdr:from>
        <xdr:to>
          <xdr:col>10</xdr:col>
          <xdr:colOff>1474470</xdr:colOff>
          <xdr:row>58</xdr:row>
          <xdr:rowOff>255270</xdr:rowOff>
        </xdr:to>
        <xdr:sp macro="" textlink="">
          <xdr:nvSpPr>
            <xdr:cNvPr id="16729" name="Group Box 345" hidden="1">
              <a:extLst>
                <a:ext uri="{63B3BB69-23CF-44E3-9099-C40C66FF867C}">
                  <a14:compatExt spid="_x0000_s16729"/>
                </a:ext>
                <a:ext uri="{FF2B5EF4-FFF2-40B4-BE49-F238E27FC236}">
                  <a16:creationId xmlns:a16="http://schemas.microsoft.com/office/drawing/2014/main" id="{00000000-0008-0000-0400-00005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54</xdr:row>
          <xdr:rowOff>354330</xdr:rowOff>
        </xdr:from>
        <xdr:to>
          <xdr:col>10</xdr:col>
          <xdr:colOff>895350</xdr:colOff>
          <xdr:row>54</xdr:row>
          <xdr:rowOff>544830</xdr:rowOff>
        </xdr:to>
        <xdr:sp macro="" textlink="">
          <xdr:nvSpPr>
            <xdr:cNvPr id="16730" name="Option Button 346" hidden="1">
              <a:extLst>
                <a:ext uri="{63B3BB69-23CF-44E3-9099-C40C66FF867C}">
                  <a14:compatExt spid="_x0000_s16730"/>
                </a:ext>
                <a:ext uri="{FF2B5EF4-FFF2-40B4-BE49-F238E27FC236}">
                  <a16:creationId xmlns:a16="http://schemas.microsoft.com/office/drawing/2014/main" id="{00000000-0008-0000-0400-00005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55</xdr:row>
          <xdr:rowOff>163830</xdr:rowOff>
        </xdr:from>
        <xdr:to>
          <xdr:col>10</xdr:col>
          <xdr:colOff>895350</xdr:colOff>
          <xdr:row>55</xdr:row>
          <xdr:rowOff>354330</xdr:rowOff>
        </xdr:to>
        <xdr:sp macro="" textlink="">
          <xdr:nvSpPr>
            <xdr:cNvPr id="16731" name="Option Button 347" hidden="1">
              <a:extLst>
                <a:ext uri="{63B3BB69-23CF-44E3-9099-C40C66FF867C}">
                  <a14:compatExt spid="_x0000_s16731"/>
                </a:ext>
                <a:ext uri="{FF2B5EF4-FFF2-40B4-BE49-F238E27FC236}">
                  <a16:creationId xmlns:a16="http://schemas.microsoft.com/office/drawing/2014/main" id="{00000000-0008-0000-0400-00005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56</xdr:row>
          <xdr:rowOff>76200</xdr:rowOff>
        </xdr:from>
        <xdr:to>
          <xdr:col>10</xdr:col>
          <xdr:colOff>895350</xdr:colOff>
          <xdr:row>56</xdr:row>
          <xdr:rowOff>266700</xdr:rowOff>
        </xdr:to>
        <xdr:sp macro="" textlink="">
          <xdr:nvSpPr>
            <xdr:cNvPr id="16732" name="Option Button 348" hidden="1">
              <a:extLst>
                <a:ext uri="{63B3BB69-23CF-44E3-9099-C40C66FF867C}">
                  <a14:compatExt spid="_x0000_s16732"/>
                </a:ext>
                <a:ext uri="{FF2B5EF4-FFF2-40B4-BE49-F238E27FC236}">
                  <a16:creationId xmlns:a16="http://schemas.microsoft.com/office/drawing/2014/main" id="{00000000-0008-0000-0400-00005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57</xdr:row>
          <xdr:rowOff>0</xdr:rowOff>
        </xdr:from>
        <xdr:to>
          <xdr:col>10</xdr:col>
          <xdr:colOff>895350</xdr:colOff>
          <xdr:row>58</xdr:row>
          <xdr:rowOff>0</xdr:rowOff>
        </xdr:to>
        <xdr:sp macro="" textlink="">
          <xdr:nvSpPr>
            <xdr:cNvPr id="16733" name="Option Button 349" hidden="1">
              <a:extLst>
                <a:ext uri="{63B3BB69-23CF-44E3-9099-C40C66FF867C}">
                  <a14:compatExt spid="_x0000_s16733"/>
                </a:ext>
                <a:ext uri="{FF2B5EF4-FFF2-40B4-BE49-F238E27FC236}">
                  <a16:creationId xmlns:a16="http://schemas.microsoft.com/office/drawing/2014/main" id="{00000000-0008-0000-0400-00005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58</xdr:row>
          <xdr:rowOff>342900</xdr:rowOff>
        </xdr:from>
        <xdr:to>
          <xdr:col>11</xdr:col>
          <xdr:colOff>0</xdr:colOff>
          <xdr:row>60</xdr:row>
          <xdr:rowOff>285750</xdr:rowOff>
        </xdr:to>
        <xdr:sp macro="" textlink="">
          <xdr:nvSpPr>
            <xdr:cNvPr id="16734" name="Group Box 350" hidden="1">
              <a:extLst>
                <a:ext uri="{63B3BB69-23CF-44E3-9099-C40C66FF867C}">
                  <a14:compatExt spid="_x0000_s16734"/>
                </a:ext>
                <a:ext uri="{FF2B5EF4-FFF2-40B4-BE49-F238E27FC236}">
                  <a16:creationId xmlns:a16="http://schemas.microsoft.com/office/drawing/2014/main" id="{00000000-0008-0000-0400-00005E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59</xdr:row>
          <xdr:rowOff>0</xdr:rowOff>
        </xdr:from>
        <xdr:to>
          <xdr:col>10</xdr:col>
          <xdr:colOff>906780</xdr:colOff>
          <xdr:row>60</xdr:row>
          <xdr:rowOff>0</xdr:rowOff>
        </xdr:to>
        <xdr:sp macro="" textlink="">
          <xdr:nvSpPr>
            <xdr:cNvPr id="16735" name="Option Button 351" hidden="1">
              <a:extLst>
                <a:ext uri="{63B3BB69-23CF-44E3-9099-C40C66FF867C}">
                  <a14:compatExt spid="_x0000_s16735"/>
                </a:ext>
                <a:ext uri="{FF2B5EF4-FFF2-40B4-BE49-F238E27FC236}">
                  <a16:creationId xmlns:a16="http://schemas.microsoft.com/office/drawing/2014/main" id="{00000000-0008-0000-0400-00005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60</xdr:row>
          <xdr:rowOff>0</xdr:rowOff>
        </xdr:from>
        <xdr:to>
          <xdr:col>10</xdr:col>
          <xdr:colOff>906780</xdr:colOff>
          <xdr:row>60</xdr:row>
          <xdr:rowOff>198120</xdr:rowOff>
        </xdr:to>
        <xdr:sp macro="" textlink="">
          <xdr:nvSpPr>
            <xdr:cNvPr id="16736" name="Option Button 352" hidden="1">
              <a:extLst>
                <a:ext uri="{63B3BB69-23CF-44E3-9099-C40C66FF867C}">
                  <a14:compatExt spid="_x0000_s16736"/>
                </a:ext>
                <a:ext uri="{FF2B5EF4-FFF2-40B4-BE49-F238E27FC236}">
                  <a16:creationId xmlns:a16="http://schemas.microsoft.com/office/drawing/2014/main" id="{00000000-0008-0000-0400-00006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163830</xdr:colOff>
          <xdr:row>61</xdr:row>
          <xdr:rowOff>125730</xdr:rowOff>
        </xdr:from>
        <xdr:to>
          <xdr:col>11</xdr:col>
          <xdr:colOff>11430</xdr:colOff>
          <xdr:row>65</xdr:row>
          <xdr:rowOff>87630</xdr:rowOff>
        </xdr:to>
        <xdr:sp macro="" textlink="">
          <xdr:nvSpPr>
            <xdr:cNvPr id="16737" name="Group Box 353" hidden="1">
              <a:extLst>
                <a:ext uri="{63B3BB69-23CF-44E3-9099-C40C66FF867C}">
                  <a14:compatExt spid="_x0000_s16737"/>
                </a:ext>
                <a:ext uri="{FF2B5EF4-FFF2-40B4-BE49-F238E27FC236}">
                  <a16:creationId xmlns:a16="http://schemas.microsoft.com/office/drawing/2014/main" id="{00000000-0008-0000-0400-000061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353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62</xdr:row>
          <xdr:rowOff>0</xdr:rowOff>
        </xdr:from>
        <xdr:to>
          <xdr:col>10</xdr:col>
          <xdr:colOff>906780</xdr:colOff>
          <xdr:row>63</xdr:row>
          <xdr:rowOff>0</xdr:rowOff>
        </xdr:to>
        <xdr:sp macro="" textlink="">
          <xdr:nvSpPr>
            <xdr:cNvPr id="16738" name="Option Button 354" hidden="1">
              <a:extLst>
                <a:ext uri="{63B3BB69-23CF-44E3-9099-C40C66FF867C}">
                  <a14:compatExt spid="_x0000_s16738"/>
                </a:ext>
                <a:ext uri="{FF2B5EF4-FFF2-40B4-BE49-F238E27FC236}">
                  <a16:creationId xmlns:a16="http://schemas.microsoft.com/office/drawing/2014/main" id="{00000000-0008-0000-0400-00006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63</xdr:row>
          <xdr:rowOff>68580</xdr:rowOff>
        </xdr:from>
        <xdr:to>
          <xdr:col>10</xdr:col>
          <xdr:colOff>906780</xdr:colOff>
          <xdr:row>63</xdr:row>
          <xdr:rowOff>297180</xdr:rowOff>
        </xdr:to>
        <xdr:sp macro="" textlink="">
          <xdr:nvSpPr>
            <xdr:cNvPr id="16740" name="Option Button 356" hidden="1">
              <a:extLst>
                <a:ext uri="{63B3BB69-23CF-44E3-9099-C40C66FF867C}">
                  <a14:compatExt spid="_x0000_s16740"/>
                </a:ext>
                <a:ext uri="{FF2B5EF4-FFF2-40B4-BE49-F238E27FC236}">
                  <a16:creationId xmlns:a16="http://schemas.microsoft.com/office/drawing/2014/main" id="{00000000-0008-0000-0400-00006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678180</xdr:colOff>
          <xdr:row>64</xdr:row>
          <xdr:rowOff>68580</xdr:rowOff>
        </xdr:from>
        <xdr:to>
          <xdr:col>10</xdr:col>
          <xdr:colOff>906780</xdr:colOff>
          <xdr:row>64</xdr:row>
          <xdr:rowOff>297180</xdr:rowOff>
        </xdr:to>
        <xdr:sp macro="" textlink="">
          <xdr:nvSpPr>
            <xdr:cNvPr id="16741" name="Option Button 357" hidden="1">
              <a:extLst>
                <a:ext uri="{63B3BB69-23CF-44E3-9099-C40C66FF867C}">
                  <a14:compatExt spid="_x0000_s16741"/>
                </a:ext>
                <a:ext uri="{FF2B5EF4-FFF2-40B4-BE49-F238E27FC236}">
                  <a16:creationId xmlns:a16="http://schemas.microsoft.com/office/drawing/2014/main" id="{00000000-0008-0000-0400-00006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xdr:colOff>
          <xdr:row>58</xdr:row>
          <xdr:rowOff>388620</xdr:rowOff>
        </xdr:from>
        <xdr:to>
          <xdr:col>2</xdr:col>
          <xdr:colOff>1104900</xdr:colOff>
          <xdr:row>60</xdr:row>
          <xdr:rowOff>411480</xdr:rowOff>
        </xdr:to>
        <xdr:sp macro="" textlink="">
          <xdr:nvSpPr>
            <xdr:cNvPr id="16742" name="Group Box 358" hidden="1">
              <a:extLst>
                <a:ext uri="{63B3BB69-23CF-44E3-9099-C40C66FF867C}">
                  <a14:compatExt spid="_x0000_s16742"/>
                </a:ext>
                <a:ext uri="{FF2B5EF4-FFF2-40B4-BE49-F238E27FC236}">
                  <a16:creationId xmlns:a16="http://schemas.microsoft.com/office/drawing/2014/main" id="{00000000-0008-0000-0400-00006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788670</xdr:colOff>
          <xdr:row>30</xdr:row>
          <xdr:rowOff>133350</xdr:rowOff>
        </xdr:from>
        <xdr:to>
          <xdr:col>3</xdr:col>
          <xdr:colOff>49530</xdr:colOff>
          <xdr:row>36</xdr:row>
          <xdr:rowOff>87630</xdr:rowOff>
        </xdr:to>
        <xdr:sp macro="" textlink="">
          <xdr:nvSpPr>
            <xdr:cNvPr id="16743" name="Group Box 359" hidden="1">
              <a:extLst>
                <a:ext uri="{63B3BB69-23CF-44E3-9099-C40C66FF867C}">
                  <a14:compatExt spid="_x0000_s16743"/>
                </a:ext>
                <a:ext uri="{FF2B5EF4-FFF2-40B4-BE49-F238E27FC236}">
                  <a16:creationId xmlns:a16="http://schemas.microsoft.com/office/drawing/2014/main" id="{00000000-0008-0000-0400-000067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31</xdr:row>
          <xdr:rowOff>11430</xdr:rowOff>
        </xdr:from>
        <xdr:to>
          <xdr:col>2</xdr:col>
          <xdr:colOff>906780</xdr:colOff>
          <xdr:row>32</xdr:row>
          <xdr:rowOff>0</xdr:rowOff>
        </xdr:to>
        <xdr:sp macro="" textlink="">
          <xdr:nvSpPr>
            <xdr:cNvPr id="16744" name="Option Button 360" hidden="1">
              <a:extLst>
                <a:ext uri="{63B3BB69-23CF-44E3-9099-C40C66FF867C}">
                  <a14:compatExt spid="_x0000_s16744"/>
                </a:ext>
                <a:ext uri="{FF2B5EF4-FFF2-40B4-BE49-F238E27FC236}">
                  <a16:creationId xmlns:a16="http://schemas.microsoft.com/office/drawing/2014/main" id="{00000000-0008-0000-0400-00006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32</xdr:row>
          <xdr:rowOff>68580</xdr:rowOff>
        </xdr:from>
        <xdr:to>
          <xdr:col>2</xdr:col>
          <xdr:colOff>906780</xdr:colOff>
          <xdr:row>32</xdr:row>
          <xdr:rowOff>297180</xdr:rowOff>
        </xdr:to>
        <xdr:sp macro="" textlink="">
          <xdr:nvSpPr>
            <xdr:cNvPr id="16745" name="Option Button 361" hidden="1">
              <a:extLst>
                <a:ext uri="{63B3BB69-23CF-44E3-9099-C40C66FF867C}">
                  <a14:compatExt spid="_x0000_s16745"/>
                </a:ext>
                <a:ext uri="{FF2B5EF4-FFF2-40B4-BE49-F238E27FC236}">
                  <a16:creationId xmlns:a16="http://schemas.microsoft.com/office/drawing/2014/main" id="{00000000-0008-0000-0400-00006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33</xdr:row>
          <xdr:rowOff>68580</xdr:rowOff>
        </xdr:from>
        <xdr:to>
          <xdr:col>2</xdr:col>
          <xdr:colOff>906780</xdr:colOff>
          <xdr:row>33</xdr:row>
          <xdr:rowOff>297180</xdr:rowOff>
        </xdr:to>
        <xdr:sp macro="" textlink="">
          <xdr:nvSpPr>
            <xdr:cNvPr id="16746" name="Option Button 362" hidden="1">
              <a:extLst>
                <a:ext uri="{63B3BB69-23CF-44E3-9099-C40C66FF867C}">
                  <a14:compatExt spid="_x0000_s16746"/>
                </a:ext>
                <a:ext uri="{FF2B5EF4-FFF2-40B4-BE49-F238E27FC236}">
                  <a16:creationId xmlns:a16="http://schemas.microsoft.com/office/drawing/2014/main" id="{00000000-0008-0000-0400-00006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34</xdr:row>
          <xdr:rowOff>64770</xdr:rowOff>
        </xdr:from>
        <xdr:to>
          <xdr:col>2</xdr:col>
          <xdr:colOff>906780</xdr:colOff>
          <xdr:row>34</xdr:row>
          <xdr:rowOff>297180</xdr:rowOff>
        </xdr:to>
        <xdr:sp macro="" textlink="">
          <xdr:nvSpPr>
            <xdr:cNvPr id="16747" name="Option Button 363" hidden="1">
              <a:extLst>
                <a:ext uri="{63B3BB69-23CF-44E3-9099-C40C66FF867C}">
                  <a14:compatExt spid="_x0000_s16747"/>
                </a:ext>
                <a:ext uri="{FF2B5EF4-FFF2-40B4-BE49-F238E27FC236}">
                  <a16:creationId xmlns:a16="http://schemas.microsoft.com/office/drawing/2014/main" id="{00000000-0008-0000-0400-00006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35</xdr:row>
          <xdr:rowOff>68580</xdr:rowOff>
        </xdr:from>
        <xdr:to>
          <xdr:col>2</xdr:col>
          <xdr:colOff>906780</xdr:colOff>
          <xdr:row>35</xdr:row>
          <xdr:rowOff>297180</xdr:rowOff>
        </xdr:to>
        <xdr:sp macro="" textlink="">
          <xdr:nvSpPr>
            <xdr:cNvPr id="16748" name="Option Button 364" hidden="1">
              <a:extLst>
                <a:ext uri="{63B3BB69-23CF-44E3-9099-C40C66FF867C}">
                  <a14:compatExt spid="_x0000_s16748"/>
                </a:ext>
                <a:ext uri="{FF2B5EF4-FFF2-40B4-BE49-F238E27FC236}">
                  <a16:creationId xmlns:a16="http://schemas.microsoft.com/office/drawing/2014/main" id="{00000000-0008-0000-0400-00006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36</xdr:row>
          <xdr:rowOff>144780</xdr:rowOff>
        </xdr:from>
        <xdr:to>
          <xdr:col>3</xdr:col>
          <xdr:colOff>38100</xdr:colOff>
          <xdr:row>40</xdr:row>
          <xdr:rowOff>133350</xdr:rowOff>
        </xdr:to>
        <xdr:sp macro="" textlink="">
          <xdr:nvSpPr>
            <xdr:cNvPr id="16752" name="Group Box 368" hidden="1">
              <a:extLst>
                <a:ext uri="{63B3BB69-23CF-44E3-9099-C40C66FF867C}">
                  <a14:compatExt spid="_x0000_s16752"/>
                </a:ext>
                <a:ext uri="{FF2B5EF4-FFF2-40B4-BE49-F238E27FC236}">
                  <a16:creationId xmlns:a16="http://schemas.microsoft.com/office/drawing/2014/main" id="{00000000-0008-0000-0400-000070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37</xdr:row>
          <xdr:rowOff>0</xdr:rowOff>
        </xdr:from>
        <xdr:to>
          <xdr:col>2</xdr:col>
          <xdr:colOff>895350</xdr:colOff>
          <xdr:row>38</xdr:row>
          <xdr:rowOff>0</xdr:rowOff>
        </xdr:to>
        <xdr:sp macro="" textlink="">
          <xdr:nvSpPr>
            <xdr:cNvPr id="16753" name="Option Button 369" hidden="1">
              <a:extLst>
                <a:ext uri="{63B3BB69-23CF-44E3-9099-C40C66FF867C}">
                  <a14:compatExt spid="_x0000_s16753"/>
                </a:ext>
                <a:ext uri="{FF2B5EF4-FFF2-40B4-BE49-F238E27FC236}">
                  <a16:creationId xmlns:a16="http://schemas.microsoft.com/office/drawing/2014/main" id="{00000000-0008-0000-0400-00007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38</xdr:row>
          <xdr:rowOff>0</xdr:rowOff>
        </xdr:from>
        <xdr:to>
          <xdr:col>2</xdr:col>
          <xdr:colOff>895350</xdr:colOff>
          <xdr:row>39</xdr:row>
          <xdr:rowOff>0</xdr:rowOff>
        </xdr:to>
        <xdr:sp macro="" textlink="">
          <xdr:nvSpPr>
            <xdr:cNvPr id="16754" name="Option Button 370" hidden="1">
              <a:extLst>
                <a:ext uri="{63B3BB69-23CF-44E3-9099-C40C66FF867C}">
                  <a14:compatExt spid="_x0000_s16754"/>
                </a:ext>
                <a:ext uri="{FF2B5EF4-FFF2-40B4-BE49-F238E27FC236}">
                  <a16:creationId xmlns:a16="http://schemas.microsoft.com/office/drawing/2014/main" id="{00000000-0008-0000-0400-00007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39</xdr:row>
          <xdr:rowOff>0</xdr:rowOff>
        </xdr:from>
        <xdr:to>
          <xdr:col>2</xdr:col>
          <xdr:colOff>895350</xdr:colOff>
          <xdr:row>40</xdr:row>
          <xdr:rowOff>0</xdr:rowOff>
        </xdr:to>
        <xdr:sp macro="" textlink="">
          <xdr:nvSpPr>
            <xdr:cNvPr id="16755" name="Option Button 371" hidden="1">
              <a:extLst>
                <a:ext uri="{63B3BB69-23CF-44E3-9099-C40C66FF867C}">
                  <a14:compatExt spid="_x0000_s16755"/>
                </a:ext>
                <a:ext uri="{FF2B5EF4-FFF2-40B4-BE49-F238E27FC236}">
                  <a16:creationId xmlns:a16="http://schemas.microsoft.com/office/drawing/2014/main" id="{00000000-0008-0000-0400-00007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40</xdr:row>
          <xdr:rowOff>247650</xdr:rowOff>
        </xdr:from>
        <xdr:to>
          <xdr:col>3</xdr:col>
          <xdr:colOff>64770</xdr:colOff>
          <xdr:row>45</xdr:row>
          <xdr:rowOff>125730</xdr:rowOff>
        </xdr:to>
        <xdr:sp macro="" textlink="">
          <xdr:nvSpPr>
            <xdr:cNvPr id="16756" name="Group Box 372" hidden="1">
              <a:extLst>
                <a:ext uri="{63B3BB69-23CF-44E3-9099-C40C66FF867C}">
                  <a14:compatExt spid="_x0000_s16756"/>
                </a:ext>
                <a:ext uri="{FF2B5EF4-FFF2-40B4-BE49-F238E27FC236}">
                  <a16:creationId xmlns:a16="http://schemas.microsoft.com/office/drawing/2014/main" id="{00000000-0008-0000-0400-000074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372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41</xdr:row>
          <xdr:rowOff>0</xdr:rowOff>
        </xdr:from>
        <xdr:to>
          <xdr:col>2</xdr:col>
          <xdr:colOff>895350</xdr:colOff>
          <xdr:row>42</xdr:row>
          <xdr:rowOff>0</xdr:rowOff>
        </xdr:to>
        <xdr:sp macro="" textlink="">
          <xdr:nvSpPr>
            <xdr:cNvPr id="16757" name="Option Button 373" hidden="1">
              <a:extLst>
                <a:ext uri="{63B3BB69-23CF-44E3-9099-C40C66FF867C}">
                  <a14:compatExt spid="_x0000_s16757"/>
                </a:ext>
                <a:ext uri="{FF2B5EF4-FFF2-40B4-BE49-F238E27FC236}">
                  <a16:creationId xmlns:a16="http://schemas.microsoft.com/office/drawing/2014/main" id="{00000000-0008-0000-0400-00007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42</xdr:row>
          <xdr:rowOff>7620</xdr:rowOff>
        </xdr:from>
        <xdr:to>
          <xdr:col>2</xdr:col>
          <xdr:colOff>895350</xdr:colOff>
          <xdr:row>43</xdr:row>
          <xdr:rowOff>0</xdr:rowOff>
        </xdr:to>
        <xdr:sp macro="" textlink="">
          <xdr:nvSpPr>
            <xdr:cNvPr id="16758" name="Option Button 374" hidden="1">
              <a:extLst>
                <a:ext uri="{63B3BB69-23CF-44E3-9099-C40C66FF867C}">
                  <a14:compatExt spid="_x0000_s16758"/>
                </a:ext>
                <a:ext uri="{FF2B5EF4-FFF2-40B4-BE49-F238E27FC236}">
                  <a16:creationId xmlns:a16="http://schemas.microsoft.com/office/drawing/2014/main" id="{00000000-0008-0000-0400-00007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43</xdr:row>
          <xdr:rowOff>0</xdr:rowOff>
        </xdr:from>
        <xdr:to>
          <xdr:col>2</xdr:col>
          <xdr:colOff>876300</xdr:colOff>
          <xdr:row>44</xdr:row>
          <xdr:rowOff>0</xdr:rowOff>
        </xdr:to>
        <xdr:sp macro="" textlink="">
          <xdr:nvSpPr>
            <xdr:cNvPr id="16759" name="Option Button 375" hidden="1">
              <a:extLst>
                <a:ext uri="{63B3BB69-23CF-44E3-9099-C40C66FF867C}">
                  <a14:compatExt spid="_x0000_s16759"/>
                </a:ext>
                <a:ext uri="{FF2B5EF4-FFF2-40B4-BE49-F238E27FC236}">
                  <a16:creationId xmlns:a16="http://schemas.microsoft.com/office/drawing/2014/main" id="{00000000-0008-0000-0400-00007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44</xdr:row>
          <xdr:rowOff>0</xdr:rowOff>
        </xdr:from>
        <xdr:to>
          <xdr:col>2</xdr:col>
          <xdr:colOff>906780</xdr:colOff>
          <xdr:row>45</xdr:row>
          <xdr:rowOff>0</xdr:rowOff>
        </xdr:to>
        <xdr:sp macro="" textlink="">
          <xdr:nvSpPr>
            <xdr:cNvPr id="16760" name="Option Button 376" hidden="1">
              <a:extLst>
                <a:ext uri="{63B3BB69-23CF-44E3-9099-C40C66FF867C}">
                  <a14:compatExt spid="_x0000_s16760"/>
                </a:ext>
                <a:ext uri="{FF2B5EF4-FFF2-40B4-BE49-F238E27FC236}">
                  <a16:creationId xmlns:a16="http://schemas.microsoft.com/office/drawing/2014/main" id="{00000000-0008-0000-0400-00007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15</xdr:row>
          <xdr:rowOff>144780</xdr:rowOff>
        </xdr:from>
        <xdr:to>
          <xdr:col>2</xdr:col>
          <xdr:colOff>906780</xdr:colOff>
          <xdr:row>15</xdr:row>
          <xdr:rowOff>342900</xdr:rowOff>
        </xdr:to>
        <xdr:sp macro="" textlink="">
          <xdr:nvSpPr>
            <xdr:cNvPr id="16761" name="Option Button 377" hidden="1">
              <a:extLst>
                <a:ext uri="{63B3BB69-23CF-44E3-9099-C40C66FF867C}">
                  <a14:compatExt spid="_x0000_s16761"/>
                </a:ext>
                <a:ext uri="{FF2B5EF4-FFF2-40B4-BE49-F238E27FC236}">
                  <a16:creationId xmlns:a16="http://schemas.microsoft.com/office/drawing/2014/main" id="{00000000-0008-0000-0400-00007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674370</xdr:colOff>
          <xdr:row>16</xdr:row>
          <xdr:rowOff>0</xdr:rowOff>
        </xdr:from>
        <xdr:to>
          <xdr:col>2</xdr:col>
          <xdr:colOff>906780</xdr:colOff>
          <xdr:row>17</xdr:row>
          <xdr:rowOff>0</xdr:rowOff>
        </xdr:to>
        <xdr:sp macro="" textlink="">
          <xdr:nvSpPr>
            <xdr:cNvPr id="16762" name="Option Button 378" hidden="1">
              <a:extLst>
                <a:ext uri="{63B3BB69-23CF-44E3-9099-C40C66FF867C}">
                  <a14:compatExt spid="_x0000_s16762"/>
                </a:ext>
                <a:ext uri="{FF2B5EF4-FFF2-40B4-BE49-F238E27FC236}">
                  <a16:creationId xmlns:a16="http://schemas.microsoft.com/office/drawing/2014/main" id="{00000000-0008-0000-0400-00007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https://static1.squarespace.com/static/583b86882e69cfc61c6c26dc/t/5da997e07202d65de160bd95/1571395552990/Calculation+Process_10_18_2019.pdf"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71.xml"/><Relationship Id="rId21" Type="http://schemas.openxmlformats.org/officeDocument/2006/relationships/ctrlProp" Target="../ctrlProps/ctrlProp75.xml"/><Relationship Id="rId63" Type="http://schemas.openxmlformats.org/officeDocument/2006/relationships/ctrlProp" Target="../ctrlProps/ctrlProp117.xml"/><Relationship Id="rId159" Type="http://schemas.openxmlformats.org/officeDocument/2006/relationships/ctrlProp" Target="../ctrlProps/ctrlProp213.xml"/><Relationship Id="rId170" Type="http://schemas.openxmlformats.org/officeDocument/2006/relationships/ctrlProp" Target="../ctrlProps/ctrlProp224.xml"/><Relationship Id="rId226" Type="http://schemas.openxmlformats.org/officeDocument/2006/relationships/ctrlProp" Target="../ctrlProps/ctrlProp280.xml"/><Relationship Id="rId268" Type="http://schemas.openxmlformats.org/officeDocument/2006/relationships/ctrlProp" Target="../ctrlProps/ctrlProp322.xml"/><Relationship Id="rId32" Type="http://schemas.openxmlformats.org/officeDocument/2006/relationships/ctrlProp" Target="../ctrlProps/ctrlProp86.xml"/><Relationship Id="rId74" Type="http://schemas.openxmlformats.org/officeDocument/2006/relationships/ctrlProp" Target="../ctrlProps/ctrlProp128.xml"/><Relationship Id="rId128" Type="http://schemas.openxmlformats.org/officeDocument/2006/relationships/ctrlProp" Target="../ctrlProps/ctrlProp182.xml"/><Relationship Id="rId5" Type="http://schemas.openxmlformats.org/officeDocument/2006/relationships/ctrlProp" Target="../ctrlProps/ctrlProp59.xml"/><Relationship Id="rId181" Type="http://schemas.openxmlformats.org/officeDocument/2006/relationships/ctrlProp" Target="../ctrlProps/ctrlProp235.xml"/><Relationship Id="rId237" Type="http://schemas.openxmlformats.org/officeDocument/2006/relationships/ctrlProp" Target="../ctrlProps/ctrlProp291.xml"/><Relationship Id="rId279" Type="http://schemas.openxmlformats.org/officeDocument/2006/relationships/ctrlProp" Target="../ctrlProps/ctrlProp333.xml"/><Relationship Id="rId43" Type="http://schemas.openxmlformats.org/officeDocument/2006/relationships/ctrlProp" Target="../ctrlProps/ctrlProp97.xml"/><Relationship Id="rId139" Type="http://schemas.openxmlformats.org/officeDocument/2006/relationships/ctrlProp" Target="../ctrlProps/ctrlProp193.xml"/><Relationship Id="rId290" Type="http://schemas.openxmlformats.org/officeDocument/2006/relationships/ctrlProp" Target="../ctrlProps/ctrlProp344.xml"/><Relationship Id="rId85" Type="http://schemas.openxmlformats.org/officeDocument/2006/relationships/ctrlProp" Target="../ctrlProps/ctrlProp139.xml"/><Relationship Id="rId150" Type="http://schemas.openxmlformats.org/officeDocument/2006/relationships/ctrlProp" Target="../ctrlProps/ctrlProp204.xml"/><Relationship Id="rId192" Type="http://schemas.openxmlformats.org/officeDocument/2006/relationships/ctrlProp" Target="../ctrlProps/ctrlProp246.xml"/><Relationship Id="rId206" Type="http://schemas.openxmlformats.org/officeDocument/2006/relationships/ctrlProp" Target="../ctrlProps/ctrlProp260.xml"/><Relationship Id="rId248" Type="http://schemas.openxmlformats.org/officeDocument/2006/relationships/ctrlProp" Target="../ctrlProps/ctrlProp302.xml"/><Relationship Id="rId269" Type="http://schemas.openxmlformats.org/officeDocument/2006/relationships/ctrlProp" Target="../ctrlProps/ctrlProp323.xml"/><Relationship Id="rId12" Type="http://schemas.openxmlformats.org/officeDocument/2006/relationships/ctrlProp" Target="../ctrlProps/ctrlProp66.xml"/><Relationship Id="rId33" Type="http://schemas.openxmlformats.org/officeDocument/2006/relationships/ctrlProp" Target="../ctrlProps/ctrlProp87.xml"/><Relationship Id="rId108" Type="http://schemas.openxmlformats.org/officeDocument/2006/relationships/ctrlProp" Target="../ctrlProps/ctrlProp162.xml"/><Relationship Id="rId129" Type="http://schemas.openxmlformats.org/officeDocument/2006/relationships/ctrlProp" Target="../ctrlProps/ctrlProp183.xml"/><Relationship Id="rId280" Type="http://schemas.openxmlformats.org/officeDocument/2006/relationships/ctrlProp" Target="../ctrlProps/ctrlProp334.xml"/><Relationship Id="rId54" Type="http://schemas.openxmlformats.org/officeDocument/2006/relationships/ctrlProp" Target="../ctrlProps/ctrlProp108.xml"/><Relationship Id="rId75" Type="http://schemas.openxmlformats.org/officeDocument/2006/relationships/ctrlProp" Target="../ctrlProps/ctrlProp129.xml"/><Relationship Id="rId96" Type="http://schemas.openxmlformats.org/officeDocument/2006/relationships/ctrlProp" Target="../ctrlProps/ctrlProp150.xml"/><Relationship Id="rId140" Type="http://schemas.openxmlformats.org/officeDocument/2006/relationships/ctrlProp" Target="../ctrlProps/ctrlProp194.xml"/><Relationship Id="rId161" Type="http://schemas.openxmlformats.org/officeDocument/2006/relationships/ctrlProp" Target="../ctrlProps/ctrlProp215.xml"/><Relationship Id="rId182" Type="http://schemas.openxmlformats.org/officeDocument/2006/relationships/ctrlProp" Target="../ctrlProps/ctrlProp236.xml"/><Relationship Id="rId217" Type="http://schemas.openxmlformats.org/officeDocument/2006/relationships/ctrlProp" Target="../ctrlProps/ctrlProp271.xml"/><Relationship Id="rId6" Type="http://schemas.openxmlformats.org/officeDocument/2006/relationships/ctrlProp" Target="../ctrlProps/ctrlProp60.xml"/><Relationship Id="rId238" Type="http://schemas.openxmlformats.org/officeDocument/2006/relationships/ctrlProp" Target="../ctrlProps/ctrlProp292.xml"/><Relationship Id="rId259" Type="http://schemas.openxmlformats.org/officeDocument/2006/relationships/ctrlProp" Target="../ctrlProps/ctrlProp313.xml"/><Relationship Id="rId23" Type="http://schemas.openxmlformats.org/officeDocument/2006/relationships/ctrlProp" Target="../ctrlProps/ctrlProp77.xml"/><Relationship Id="rId119" Type="http://schemas.openxmlformats.org/officeDocument/2006/relationships/ctrlProp" Target="../ctrlProps/ctrlProp173.xml"/><Relationship Id="rId270" Type="http://schemas.openxmlformats.org/officeDocument/2006/relationships/ctrlProp" Target="../ctrlProps/ctrlProp324.xml"/><Relationship Id="rId44" Type="http://schemas.openxmlformats.org/officeDocument/2006/relationships/ctrlProp" Target="../ctrlProps/ctrlProp98.xml"/><Relationship Id="rId65" Type="http://schemas.openxmlformats.org/officeDocument/2006/relationships/ctrlProp" Target="../ctrlProps/ctrlProp119.xml"/><Relationship Id="rId86" Type="http://schemas.openxmlformats.org/officeDocument/2006/relationships/ctrlProp" Target="../ctrlProps/ctrlProp140.xml"/><Relationship Id="rId130" Type="http://schemas.openxmlformats.org/officeDocument/2006/relationships/ctrlProp" Target="../ctrlProps/ctrlProp184.xml"/><Relationship Id="rId151" Type="http://schemas.openxmlformats.org/officeDocument/2006/relationships/ctrlProp" Target="../ctrlProps/ctrlProp205.xml"/><Relationship Id="rId172" Type="http://schemas.openxmlformats.org/officeDocument/2006/relationships/ctrlProp" Target="../ctrlProps/ctrlProp226.xml"/><Relationship Id="rId193" Type="http://schemas.openxmlformats.org/officeDocument/2006/relationships/ctrlProp" Target="../ctrlProps/ctrlProp247.xml"/><Relationship Id="rId207" Type="http://schemas.openxmlformats.org/officeDocument/2006/relationships/ctrlProp" Target="../ctrlProps/ctrlProp261.xml"/><Relationship Id="rId228" Type="http://schemas.openxmlformats.org/officeDocument/2006/relationships/ctrlProp" Target="../ctrlProps/ctrlProp282.xml"/><Relationship Id="rId249" Type="http://schemas.openxmlformats.org/officeDocument/2006/relationships/ctrlProp" Target="../ctrlProps/ctrlProp303.xml"/><Relationship Id="rId13" Type="http://schemas.openxmlformats.org/officeDocument/2006/relationships/ctrlProp" Target="../ctrlProps/ctrlProp67.xml"/><Relationship Id="rId109" Type="http://schemas.openxmlformats.org/officeDocument/2006/relationships/ctrlProp" Target="../ctrlProps/ctrlProp163.xml"/><Relationship Id="rId260" Type="http://schemas.openxmlformats.org/officeDocument/2006/relationships/ctrlProp" Target="../ctrlProps/ctrlProp314.xml"/><Relationship Id="rId281" Type="http://schemas.openxmlformats.org/officeDocument/2006/relationships/ctrlProp" Target="../ctrlProps/ctrlProp335.xml"/><Relationship Id="rId34" Type="http://schemas.openxmlformats.org/officeDocument/2006/relationships/ctrlProp" Target="../ctrlProps/ctrlProp88.xml"/><Relationship Id="rId55" Type="http://schemas.openxmlformats.org/officeDocument/2006/relationships/ctrlProp" Target="../ctrlProps/ctrlProp109.xml"/><Relationship Id="rId76" Type="http://schemas.openxmlformats.org/officeDocument/2006/relationships/ctrlProp" Target="../ctrlProps/ctrlProp130.xml"/><Relationship Id="rId97" Type="http://schemas.openxmlformats.org/officeDocument/2006/relationships/ctrlProp" Target="../ctrlProps/ctrlProp151.xml"/><Relationship Id="rId120" Type="http://schemas.openxmlformats.org/officeDocument/2006/relationships/ctrlProp" Target="../ctrlProps/ctrlProp174.xml"/><Relationship Id="rId141" Type="http://schemas.openxmlformats.org/officeDocument/2006/relationships/ctrlProp" Target="../ctrlProps/ctrlProp195.xml"/><Relationship Id="rId7" Type="http://schemas.openxmlformats.org/officeDocument/2006/relationships/ctrlProp" Target="../ctrlProps/ctrlProp61.xml"/><Relationship Id="rId162" Type="http://schemas.openxmlformats.org/officeDocument/2006/relationships/ctrlProp" Target="../ctrlProps/ctrlProp216.xml"/><Relationship Id="rId183" Type="http://schemas.openxmlformats.org/officeDocument/2006/relationships/ctrlProp" Target="../ctrlProps/ctrlProp237.xml"/><Relationship Id="rId218" Type="http://schemas.openxmlformats.org/officeDocument/2006/relationships/ctrlProp" Target="../ctrlProps/ctrlProp272.xml"/><Relationship Id="rId239" Type="http://schemas.openxmlformats.org/officeDocument/2006/relationships/ctrlProp" Target="../ctrlProps/ctrlProp293.xml"/><Relationship Id="rId250" Type="http://schemas.openxmlformats.org/officeDocument/2006/relationships/ctrlProp" Target="../ctrlProps/ctrlProp304.xml"/><Relationship Id="rId271" Type="http://schemas.openxmlformats.org/officeDocument/2006/relationships/ctrlProp" Target="../ctrlProps/ctrlProp325.xml"/><Relationship Id="rId24" Type="http://schemas.openxmlformats.org/officeDocument/2006/relationships/ctrlProp" Target="../ctrlProps/ctrlProp78.xml"/><Relationship Id="rId45" Type="http://schemas.openxmlformats.org/officeDocument/2006/relationships/ctrlProp" Target="../ctrlProps/ctrlProp99.xml"/><Relationship Id="rId66" Type="http://schemas.openxmlformats.org/officeDocument/2006/relationships/ctrlProp" Target="../ctrlProps/ctrlProp120.xml"/><Relationship Id="rId87" Type="http://schemas.openxmlformats.org/officeDocument/2006/relationships/ctrlProp" Target="../ctrlProps/ctrlProp141.xml"/><Relationship Id="rId110" Type="http://schemas.openxmlformats.org/officeDocument/2006/relationships/ctrlProp" Target="../ctrlProps/ctrlProp164.xml"/><Relationship Id="rId131" Type="http://schemas.openxmlformats.org/officeDocument/2006/relationships/ctrlProp" Target="../ctrlProps/ctrlProp185.xml"/><Relationship Id="rId152" Type="http://schemas.openxmlformats.org/officeDocument/2006/relationships/ctrlProp" Target="../ctrlProps/ctrlProp206.xml"/><Relationship Id="rId173" Type="http://schemas.openxmlformats.org/officeDocument/2006/relationships/ctrlProp" Target="../ctrlProps/ctrlProp227.xml"/><Relationship Id="rId194" Type="http://schemas.openxmlformats.org/officeDocument/2006/relationships/ctrlProp" Target="../ctrlProps/ctrlProp248.xml"/><Relationship Id="rId208" Type="http://schemas.openxmlformats.org/officeDocument/2006/relationships/ctrlProp" Target="../ctrlProps/ctrlProp262.xml"/><Relationship Id="rId229" Type="http://schemas.openxmlformats.org/officeDocument/2006/relationships/ctrlProp" Target="../ctrlProps/ctrlProp283.xml"/><Relationship Id="rId240" Type="http://schemas.openxmlformats.org/officeDocument/2006/relationships/ctrlProp" Target="../ctrlProps/ctrlProp294.xml"/><Relationship Id="rId261" Type="http://schemas.openxmlformats.org/officeDocument/2006/relationships/ctrlProp" Target="../ctrlProps/ctrlProp315.xml"/><Relationship Id="rId14" Type="http://schemas.openxmlformats.org/officeDocument/2006/relationships/ctrlProp" Target="../ctrlProps/ctrlProp68.xml"/><Relationship Id="rId35" Type="http://schemas.openxmlformats.org/officeDocument/2006/relationships/ctrlProp" Target="../ctrlProps/ctrlProp89.xml"/><Relationship Id="rId56" Type="http://schemas.openxmlformats.org/officeDocument/2006/relationships/ctrlProp" Target="../ctrlProps/ctrlProp110.xml"/><Relationship Id="rId77" Type="http://schemas.openxmlformats.org/officeDocument/2006/relationships/ctrlProp" Target="../ctrlProps/ctrlProp131.xml"/><Relationship Id="rId100" Type="http://schemas.openxmlformats.org/officeDocument/2006/relationships/ctrlProp" Target="../ctrlProps/ctrlProp154.xml"/><Relationship Id="rId282" Type="http://schemas.openxmlformats.org/officeDocument/2006/relationships/ctrlProp" Target="../ctrlProps/ctrlProp336.xml"/><Relationship Id="rId8" Type="http://schemas.openxmlformats.org/officeDocument/2006/relationships/ctrlProp" Target="../ctrlProps/ctrlProp62.xml"/><Relationship Id="rId98" Type="http://schemas.openxmlformats.org/officeDocument/2006/relationships/ctrlProp" Target="../ctrlProps/ctrlProp152.xml"/><Relationship Id="rId121" Type="http://schemas.openxmlformats.org/officeDocument/2006/relationships/ctrlProp" Target="../ctrlProps/ctrlProp175.xml"/><Relationship Id="rId142" Type="http://schemas.openxmlformats.org/officeDocument/2006/relationships/ctrlProp" Target="../ctrlProps/ctrlProp196.xml"/><Relationship Id="rId163" Type="http://schemas.openxmlformats.org/officeDocument/2006/relationships/ctrlProp" Target="../ctrlProps/ctrlProp217.xml"/><Relationship Id="rId184" Type="http://schemas.openxmlformats.org/officeDocument/2006/relationships/ctrlProp" Target="../ctrlProps/ctrlProp238.xml"/><Relationship Id="rId219" Type="http://schemas.openxmlformats.org/officeDocument/2006/relationships/ctrlProp" Target="../ctrlProps/ctrlProp273.xml"/><Relationship Id="rId230" Type="http://schemas.openxmlformats.org/officeDocument/2006/relationships/ctrlProp" Target="../ctrlProps/ctrlProp284.xml"/><Relationship Id="rId251" Type="http://schemas.openxmlformats.org/officeDocument/2006/relationships/ctrlProp" Target="../ctrlProps/ctrlProp305.xml"/><Relationship Id="rId25" Type="http://schemas.openxmlformats.org/officeDocument/2006/relationships/ctrlProp" Target="../ctrlProps/ctrlProp79.xml"/><Relationship Id="rId46" Type="http://schemas.openxmlformats.org/officeDocument/2006/relationships/ctrlProp" Target="../ctrlProps/ctrlProp100.xml"/><Relationship Id="rId67" Type="http://schemas.openxmlformats.org/officeDocument/2006/relationships/ctrlProp" Target="../ctrlProps/ctrlProp121.xml"/><Relationship Id="rId272" Type="http://schemas.openxmlformats.org/officeDocument/2006/relationships/ctrlProp" Target="../ctrlProps/ctrlProp326.xml"/><Relationship Id="rId88" Type="http://schemas.openxmlformats.org/officeDocument/2006/relationships/ctrlProp" Target="../ctrlProps/ctrlProp142.xml"/><Relationship Id="rId111" Type="http://schemas.openxmlformats.org/officeDocument/2006/relationships/ctrlProp" Target="../ctrlProps/ctrlProp165.xml"/><Relationship Id="rId132" Type="http://schemas.openxmlformats.org/officeDocument/2006/relationships/ctrlProp" Target="../ctrlProps/ctrlProp186.xml"/><Relationship Id="rId153" Type="http://schemas.openxmlformats.org/officeDocument/2006/relationships/ctrlProp" Target="../ctrlProps/ctrlProp207.xml"/><Relationship Id="rId174" Type="http://schemas.openxmlformats.org/officeDocument/2006/relationships/ctrlProp" Target="../ctrlProps/ctrlProp228.xml"/><Relationship Id="rId195" Type="http://schemas.openxmlformats.org/officeDocument/2006/relationships/ctrlProp" Target="../ctrlProps/ctrlProp249.xml"/><Relationship Id="rId209" Type="http://schemas.openxmlformats.org/officeDocument/2006/relationships/ctrlProp" Target="../ctrlProps/ctrlProp263.xml"/><Relationship Id="rId220" Type="http://schemas.openxmlformats.org/officeDocument/2006/relationships/ctrlProp" Target="../ctrlProps/ctrlProp274.xml"/><Relationship Id="rId241" Type="http://schemas.openxmlformats.org/officeDocument/2006/relationships/ctrlProp" Target="../ctrlProps/ctrlProp295.xml"/><Relationship Id="rId15" Type="http://schemas.openxmlformats.org/officeDocument/2006/relationships/ctrlProp" Target="../ctrlProps/ctrlProp69.xml"/><Relationship Id="rId36" Type="http://schemas.openxmlformats.org/officeDocument/2006/relationships/ctrlProp" Target="../ctrlProps/ctrlProp90.xml"/><Relationship Id="rId57" Type="http://schemas.openxmlformats.org/officeDocument/2006/relationships/ctrlProp" Target="../ctrlProps/ctrlProp111.xml"/><Relationship Id="rId262" Type="http://schemas.openxmlformats.org/officeDocument/2006/relationships/ctrlProp" Target="../ctrlProps/ctrlProp316.xml"/><Relationship Id="rId283" Type="http://schemas.openxmlformats.org/officeDocument/2006/relationships/ctrlProp" Target="../ctrlProps/ctrlProp337.xml"/><Relationship Id="rId78" Type="http://schemas.openxmlformats.org/officeDocument/2006/relationships/ctrlProp" Target="../ctrlProps/ctrlProp132.xml"/><Relationship Id="rId99" Type="http://schemas.openxmlformats.org/officeDocument/2006/relationships/ctrlProp" Target="../ctrlProps/ctrlProp153.xml"/><Relationship Id="rId101" Type="http://schemas.openxmlformats.org/officeDocument/2006/relationships/ctrlProp" Target="../ctrlProps/ctrlProp155.xml"/><Relationship Id="rId122" Type="http://schemas.openxmlformats.org/officeDocument/2006/relationships/ctrlProp" Target="../ctrlProps/ctrlProp176.xml"/><Relationship Id="rId143" Type="http://schemas.openxmlformats.org/officeDocument/2006/relationships/ctrlProp" Target="../ctrlProps/ctrlProp197.xml"/><Relationship Id="rId164" Type="http://schemas.openxmlformats.org/officeDocument/2006/relationships/ctrlProp" Target="../ctrlProps/ctrlProp218.xml"/><Relationship Id="rId185" Type="http://schemas.openxmlformats.org/officeDocument/2006/relationships/ctrlProp" Target="../ctrlProps/ctrlProp239.xml"/><Relationship Id="rId9" Type="http://schemas.openxmlformats.org/officeDocument/2006/relationships/ctrlProp" Target="../ctrlProps/ctrlProp63.xml"/><Relationship Id="rId210" Type="http://schemas.openxmlformats.org/officeDocument/2006/relationships/ctrlProp" Target="../ctrlProps/ctrlProp264.xml"/><Relationship Id="rId26" Type="http://schemas.openxmlformats.org/officeDocument/2006/relationships/ctrlProp" Target="../ctrlProps/ctrlProp80.xml"/><Relationship Id="rId231" Type="http://schemas.openxmlformats.org/officeDocument/2006/relationships/ctrlProp" Target="../ctrlProps/ctrlProp285.xml"/><Relationship Id="rId252" Type="http://schemas.openxmlformats.org/officeDocument/2006/relationships/ctrlProp" Target="../ctrlProps/ctrlProp306.xml"/><Relationship Id="rId273" Type="http://schemas.openxmlformats.org/officeDocument/2006/relationships/ctrlProp" Target="../ctrlProps/ctrlProp327.xml"/><Relationship Id="rId47" Type="http://schemas.openxmlformats.org/officeDocument/2006/relationships/ctrlProp" Target="../ctrlProps/ctrlProp101.xml"/><Relationship Id="rId68" Type="http://schemas.openxmlformats.org/officeDocument/2006/relationships/ctrlProp" Target="../ctrlProps/ctrlProp122.xml"/><Relationship Id="rId89" Type="http://schemas.openxmlformats.org/officeDocument/2006/relationships/ctrlProp" Target="../ctrlProps/ctrlProp143.xml"/><Relationship Id="rId112" Type="http://schemas.openxmlformats.org/officeDocument/2006/relationships/ctrlProp" Target="../ctrlProps/ctrlProp166.xml"/><Relationship Id="rId133" Type="http://schemas.openxmlformats.org/officeDocument/2006/relationships/ctrlProp" Target="../ctrlProps/ctrlProp187.xml"/><Relationship Id="rId154" Type="http://schemas.openxmlformats.org/officeDocument/2006/relationships/ctrlProp" Target="../ctrlProps/ctrlProp208.xml"/><Relationship Id="rId175" Type="http://schemas.openxmlformats.org/officeDocument/2006/relationships/ctrlProp" Target="../ctrlProps/ctrlProp229.xml"/><Relationship Id="rId196" Type="http://schemas.openxmlformats.org/officeDocument/2006/relationships/ctrlProp" Target="../ctrlProps/ctrlProp250.xml"/><Relationship Id="rId200" Type="http://schemas.openxmlformats.org/officeDocument/2006/relationships/ctrlProp" Target="../ctrlProps/ctrlProp254.xml"/><Relationship Id="rId16" Type="http://schemas.openxmlformats.org/officeDocument/2006/relationships/ctrlProp" Target="../ctrlProps/ctrlProp70.xml"/><Relationship Id="rId221" Type="http://schemas.openxmlformats.org/officeDocument/2006/relationships/ctrlProp" Target="../ctrlProps/ctrlProp275.xml"/><Relationship Id="rId242" Type="http://schemas.openxmlformats.org/officeDocument/2006/relationships/ctrlProp" Target="../ctrlProps/ctrlProp296.xml"/><Relationship Id="rId263" Type="http://schemas.openxmlformats.org/officeDocument/2006/relationships/ctrlProp" Target="../ctrlProps/ctrlProp317.xml"/><Relationship Id="rId284" Type="http://schemas.openxmlformats.org/officeDocument/2006/relationships/ctrlProp" Target="../ctrlProps/ctrlProp338.xml"/><Relationship Id="rId37" Type="http://schemas.openxmlformats.org/officeDocument/2006/relationships/ctrlProp" Target="../ctrlProps/ctrlProp91.xml"/><Relationship Id="rId58" Type="http://schemas.openxmlformats.org/officeDocument/2006/relationships/ctrlProp" Target="../ctrlProps/ctrlProp112.xml"/><Relationship Id="rId79" Type="http://schemas.openxmlformats.org/officeDocument/2006/relationships/ctrlProp" Target="../ctrlProps/ctrlProp133.xml"/><Relationship Id="rId102" Type="http://schemas.openxmlformats.org/officeDocument/2006/relationships/ctrlProp" Target="../ctrlProps/ctrlProp156.xml"/><Relationship Id="rId123" Type="http://schemas.openxmlformats.org/officeDocument/2006/relationships/ctrlProp" Target="../ctrlProps/ctrlProp177.xml"/><Relationship Id="rId144" Type="http://schemas.openxmlformats.org/officeDocument/2006/relationships/ctrlProp" Target="../ctrlProps/ctrlProp198.xml"/><Relationship Id="rId90" Type="http://schemas.openxmlformats.org/officeDocument/2006/relationships/ctrlProp" Target="../ctrlProps/ctrlProp144.xml"/><Relationship Id="rId165" Type="http://schemas.openxmlformats.org/officeDocument/2006/relationships/ctrlProp" Target="../ctrlProps/ctrlProp219.xml"/><Relationship Id="rId186" Type="http://schemas.openxmlformats.org/officeDocument/2006/relationships/ctrlProp" Target="../ctrlProps/ctrlProp240.xml"/><Relationship Id="rId211" Type="http://schemas.openxmlformats.org/officeDocument/2006/relationships/ctrlProp" Target="../ctrlProps/ctrlProp265.xml"/><Relationship Id="rId232" Type="http://schemas.openxmlformats.org/officeDocument/2006/relationships/ctrlProp" Target="../ctrlProps/ctrlProp286.xml"/><Relationship Id="rId253" Type="http://schemas.openxmlformats.org/officeDocument/2006/relationships/ctrlProp" Target="../ctrlProps/ctrlProp307.xml"/><Relationship Id="rId274" Type="http://schemas.openxmlformats.org/officeDocument/2006/relationships/ctrlProp" Target="../ctrlProps/ctrlProp328.xml"/><Relationship Id="rId27" Type="http://schemas.openxmlformats.org/officeDocument/2006/relationships/ctrlProp" Target="../ctrlProps/ctrlProp81.xml"/><Relationship Id="rId48" Type="http://schemas.openxmlformats.org/officeDocument/2006/relationships/ctrlProp" Target="../ctrlProps/ctrlProp102.xml"/><Relationship Id="rId69" Type="http://schemas.openxmlformats.org/officeDocument/2006/relationships/ctrlProp" Target="../ctrlProps/ctrlProp123.xml"/><Relationship Id="rId113" Type="http://schemas.openxmlformats.org/officeDocument/2006/relationships/ctrlProp" Target="../ctrlProps/ctrlProp167.xml"/><Relationship Id="rId134" Type="http://schemas.openxmlformats.org/officeDocument/2006/relationships/ctrlProp" Target="../ctrlProps/ctrlProp188.xml"/><Relationship Id="rId80" Type="http://schemas.openxmlformats.org/officeDocument/2006/relationships/ctrlProp" Target="../ctrlProps/ctrlProp134.xml"/><Relationship Id="rId155" Type="http://schemas.openxmlformats.org/officeDocument/2006/relationships/ctrlProp" Target="../ctrlProps/ctrlProp209.xml"/><Relationship Id="rId176" Type="http://schemas.openxmlformats.org/officeDocument/2006/relationships/ctrlProp" Target="../ctrlProps/ctrlProp230.xml"/><Relationship Id="rId197" Type="http://schemas.openxmlformats.org/officeDocument/2006/relationships/ctrlProp" Target="../ctrlProps/ctrlProp251.xml"/><Relationship Id="rId201" Type="http://schemas.openxmlformats.org/officeDocument/2006/relationships/ctrlProp" Target="../ctrlProps/ctrlProp255.xml"/><Relationship Id="rId222" Type="http://schemas.openxmlformats.org/officeDocument/2006/relationships/ctrlProp" Target="../ctrlProps/ctrlProp276.xml"/><Relationship Id="rId243" Type="http://schemas.openxmlformats.org/officeDocument/2006/relationships/ctrlProp" Target="../ctrlProps/ctrlProp297.xml"/><Relationship Id="rId264" Type="http://schemas.openxmlformats.org/officeDocument/2006/relationships/ctrlProp" Target="../ctrlProps/ctrlProp318.xml"/><Relationship Id="rId285" Type="http://schemas.openxmlformats.org/officeDocument/2006/relationships/ctrlProp" Target="../ctrlProps/ctrlProp339.xml"/><Relationship Id="rId17" Type="http://schemas.openxmlformats.org/officeDocument/2006/relationships/ctrlProp" Target="../ctrlProps/ctrlProp71.xml"/><Relationship Id="rId38" Type="http://schemas.openxmlformats.org/officeDocument/2006/relationships/ctrlProp" Target="../ctrlProps/ctrlProp92.xml"/><Relationship Id="rId59" Type="http://schemas.openxmlformats.org/officeDocument/2006/relationships/ctrlProp" Target="../ctrlProps/ctrlProp113.xml"/><Relationship Id="rId103" Type="http://schemas.openxmlformats.org/officeDocument/2006/relationships/ctrlProp" Target="../ctrlProps/ctrlProp157.xml"/><Relationship Id="rId124" Type="http://schemas.openxmlformats.org/officeDocument/2006/relationships/ctrlProp" Target="../ctrlProps/ctrlProp178.xml"/><Relationship Id="rId70" Type="http://schemas.openxmlformats.org/officeDocument/2006/relationships/ctrlProp" Target="../ctrlProps/ctrlProp124.xml"/><Relationship Id="rId91" Type="http://schemas.openxmlformats.org/officeDocument/2006/relationships/ctrlProp" Target="../ctrlProps/ctrlProp145.xml"/><Relationship Id="rId145" Type="http://schemas.openxmlformats.org/officeDocument/2006/relationships/ctrlProp" Target="../ctrlProps/ctrlProp199.xml"/><Relationship Id="rId166" Type="http://schemas.openxmlformats.org/officeDocument/2006/relationships/ctrlProp" Target="../ctrlProps/ctrlProp220.xml"/><Relationship Id="rId187" Type="http://schemas.openxmlformats.org/officeDocument/2006/relationships/ctrlProp" Target="../ctrlProps/ctrlProp241.xml"/><Relationship Id="rId1" Type="http://schemas.openxmlformats.org/officeDocument/2006/relationships/hyperlink" Target="https://static1.squarespace.com/static/583b86882e69cfc61c6c26dc/t/5da997e07202d65de160bd95/1571395552990/Calculation+Process_10_18_2019.pdf" TargetMode="External"/><Relationship Id="rId212" Type="http://schemas.openxmlformats.org/officeDocument/2006/relationships/ctrlProp" Target="../ctrlProps/ctrlProp266.xml"/><Relationship Id="rId233" Type="http://schemas.openxmlformats.org/officeDocument/2006/relationships/ctrlProp" Target="../ctrlProps/ctrlProp287.xml"/><Relationship Id="rId254" Type="http://schemas.openxmlformats.org/officeDocument/2006/relationships/ctrlProp" Target="../ctrlProps/ctrlProp308.xml"/><Relationship Id="rId28" Type="http://schemas.openxmlformats.org/officeDocument/2006/relationships/ctrlProp" Target="../ctrlProps/ctrlProp82.xml"/><Relationship Id="rId49" Type="http://schemas.openxmlformats.org/officeDocument/2006/relationships/ctrlProp" Target="../ctrlProps/ctrlProp103.xml"/><Relationship Id="rId114" Type="http://schemas.openxmlformats.org/officeDocument/2006/relationships/ctrlProp" Target="../ctrlProps/ctrlProp168.xml"/><Relationship Id="rId275" Type="http://schemas.openxmlformats.org/officeDocument/2006/relationships/ctrlProp" Target="../ctrlProps/ctrlProp329.xml"/><Relationship Id="rId60" Type="http://schemas.openxmlformats.org/officeDocument/2006/relationships/ctrlProp" Target="../ctrlProps/ctrlProp114.xml"/><Relationship Id="rId81" Type="http://schemas.openxmlformats.org/officeDocument/2006/relationships/ctrlProp" Target="../ctrlProps/ctrlProp135.xml"/><Relationship Id="rId135" Type="http://schemas.openxmlformats.org/officeDocument/2006/relationships/ctrlProp" Target="../ctrlProps/ctrlProp189.xml"/><Relationship Id="rId156" Type="http://schemas.openxmlformats.org/officeDocument/2006/relationships/ctrlProp" Target="../ctrlProps/ctrlProp210.xml"/><Relationship Id="rId177" Type="http://schemas.openxmlformats.org/officeDocument/2006/relationships/ctrlProp" Target="../ctrlProps/ctrlProp231.xml"/><Relationship Id="rId198" Type="http://schemas.openxmlformats.org/officeDocument/2006/relationships/ctrlProp" Target="../ctrlProps/ctrlProp252.xml"/><Relationship Id="rId202" Type="http://schemas.openxmlformats.org/officeDocument/2006/relationships/ctrlProp" Target="../ctrlProps/ctrlProp256.xml"/><Relationship Id="rId223" Type="http://schemas.openxmlformats.org/officeDocument/2006/relationships/ctrlProp" Target="../ctrlProps/ctrlProp277.xml"/><Relationship Id="rId244" Type="http://schemas.openxmlformats.org/officeDocument/2006/relationships/ctrlProp" Target="../ctrlProps/ctrlProp298.xml"/><Relationship Id="rId18" Type="http://schemas.openxmlformats.org/officeDocument/2006/relationships/ctrlProp" Target="../ctrlProps/ctrlProp72.xml"/><Relationship Id="rId39" Type="http://schemas.openxmlformats.org/officeDocument/2006/relationships/ctrlProp" Target="../ctrlProps/ctrlProp93.xml"/><Relationship Id="rId265" Type="http://schemas.openxmlformats.org/officeDocument/2006/relationships/ctrlProp" Target="../ctrlProps/ctrlProp319.xml"/><Relationship Id="rId286" Type="http://schemas.openxmlformats.org/officeDocument/2006/relationships/ctrlProp" Target="../ctrlProps/ctrlProp340.xml"/><Relationship Id="rId50" Type="http://schemas.openxmlformats.org/officeDocument/2006/relationships/ctrlProp" Target="../ctrlProps/ctrlProp104.xml"/><Relationship Id="rId104" Type="http://schemas.openxmlformats.org/officeDocument/2006/relationships/ctrlProp" Target="../ctrlProps/ctrlProp158.xml"/><Relationship Id="rId125" Type="http://schemas.openxmlformats.org/officeDocument/2006/relationships/ctrlProp" Target="../ctrlProps/ctrlProp179.xml"/><Relationship Id="rId146" Type="http://schemas.openxmlformats.org/officeDocument/2006/relationships/ctrlProp" Target="../ctrlProps/ctrlProp200.xml"/><Relationship Id="rId167" Type="http://schemas.openxmlformats.org/officeDocument/2006/relationships/ctrlProp" Target="../ctrlProps/ctrlProp221.xml"/><Relationship Id="rId188" Type="http://schemas.openxmlformats.org/officeDocument/2006/relationships/ctrlProp" Target="../ctrlProps/ctrlProp242.xml"/><Relationship Id="rId71" Type="http://schemas.openxmlformats.org/officeDocument/2006/relationships/ctrlProp" Target="../ctrlProps/ctrlProp125.xml"/><Relationship Id="rId92" Type="http://schemas.openxmlformats.org/officeDocument/2006/relationships/ctrlProp" Target="../ctrlProps/ctrlProp146.xml"/><Relationship Id="rId213" Type="http://schemas.openxmlformats.org/officeDocument/2006/relationships/ctrlProp" Target="../ctrlProps/ctrlProp267.xml"/><Relationship Id="rId234" Type="http://schemas.openxmlformats.org/officeDocument/2006/relationships/ctrlProp" Target="../ctrlProps/ctrlProp288.xml"/><Relationship Id="rId2" Type="http://schemas.openxmlformats.org/officeDocument/2006/relationships/printerSettings" Target="../printerSettings/printerSettings5.bin"/><Relationship Id="rId29" Type="http://schemas.openxmlformats.org/officeDocument/2006/relationships/ctrlProp" Target="../ctrlProps/ctrlProp83.xml"/><Relationship Id="rId255" Type="http://schemas.openxmlformats.org/officeDocument/2006/relationships/ctrlProp" Target="../ctrlProps/ctrlProp309.xml"/><Relationship Id="rId276" Type="http://schemas.openxmlformats.org/officeDocument/2006/relationships/ctrlProp" Target="../ctrlProps/ctrlProp330.xml"/><Relationship Id="rId40" Type="http://schemas.openxmlformats.org/officeDocument/2006/relationships/ctrlProp" Target="../ctrlProps/ctrlProp94.xml"/><Relationship Id="rId115" Type="http://schemas.openxmlformats.org/officeDocument/2006/relationships/ctrlProp" Target="../ctrlProps/ctrlProp169.xml"/><Relationship Id="rId136" Type="http://schemas.openxmlformats.org/officeDocument/2006/relationships/ctrlProp" Target="../ctrlProps/ctrlProp190.xml"/><Relationship Id="rId157" Type="http://schemas.openxmlformats.org/officeDocument/2006/relationships/ctrlProp" Target="../ctrlProps/ctrlProp211.xml"/><Relationship Id="rId178" Type="http://schemas.openxmlformats.org/officeDocument/2006/relationships/ctrlProp" Target="../ctrlProps/ctrlProp232.xml"/><Relationship Id="rId61" Type="http://schemas.openxmlformats.org/officeDocument/2006/relationships/ctrlProp" Target="../ctrlProps/ctrlProp115.xml"/><Relationship Id="rId82" Type="http://schemas.openxmlformats.org/officeDocument/2006/relationships/ctrlProp" Target="../ctrlProps/ctrlProp136.xml"/><Relationship Id="rId199" Type="http://schemas.openxmlformats.org/officeDocument/2006/relationships/ctrlProp" Target="../ctrlProps/ctrlProp253.xml"/><Relationship Id="rId203" Type="http://schemas.openxmlformats.org/officeDocument/2006/relationships/ctrlProp" Target="../ctrlProps/ctrlProp257.xml"/><Relationship Id="rId19" Type="http://schemas.openxmlformats.org/officeDocument/2006/relationships/ctrlProp" Target="../ctrlProps/ctrlProp73.xml"/><Relationship Id="rId224" Type="http://schemas.openxmlformats.org/officeDocument/2006/relationships/ctrlProp" Target="../ctrlProps/ctrlProp278.xml"/><Relationship Id="rId245" Type="http://schemas.openxmlformats.org/officeDocument/2006/relationships/ctrlProp" Target="../ctrlProps/ctrlProp299.xml"/><Relationship Id="rId266" Type="http://schemas.openxmlformats.org/officeDocument/2006/relationships/ctrlProp" Target="../ctrlProps/ctrlProp320.xml"/><Relationship Id="rId287" Type="http://schemas.openxmlformats.org/officeDocument/2006/relationships/ctrlProp" Target="../ctrlProps/ctrlProp341.xml"/><Relationship Id="rId30" Type="http://schemas.openxmlformats.org/officeDocument/2006/relationships/ctrlProp" Target="../ctrlProps/ctrlProp84.xml"/><Relationship Id="rId105" Type="http://schemas.openxmlformats.org/officeDocument/2006/relationships/ctrlProp" Target="../ctrlProps/ctrlProp159.xml"/><Relationship Id="rId126" Type="http://schemas.openxmlformats.org/officeDocument/2006/relationships/ctrlProp" Target="../ctrlProps/ctrlProp180.xml"/><Relationship Id="rId147" Type="http://schemas.openxmlformats.org/officeDocument/2006/relationships/ctrlProp" Target="../ctrlProps/ctrlProp201.xml"/><Relationship Id="rId168" Type="http://schemas.openxmlformats.org/officeDocument/2006/relationships/ctrlProp" Target="../ctrlProps/ctrlProp222.xml"/><Relationship Id="rId51" Type="http://schemas.openxmlformats.org/officeDocument/2006/relationships/ctrlProp" Target="../ctrlProps/ctrlProp105.xml"/><Relationship Id="rId72" Type="http://schemas.openxmlformats.org/officeDocument/2006/relationships/ctrlProp" Target="../ctrlProps/ctrlProp126.xml"/><Relationship Id="rId93" Type="http://schemas.openxmlformats.org/officeDocument/2006/relationships/ctrlProp" Target="../ctrlProps/ctrlProp147.xml"/><Relationship Id="rId189" Type="http://schemas.openxmlformats.org/officeDocument/2006/relationships/ctrlProp" Target="../ctrlProps/ctrlProp243.xml"/><Relationship Id="rId3" Type="http://schemas.openxmlformats.org/officeDocument/2006/relationships/drawing" Target="../drawings/drawing2.xml"/><Relationship Id="rId214" Type="http://schemas.openxmlformats.org/officeDocument/2006/relationships/ctrlProp" Target="../ctrlProps/ctrlProp268.xml"/><Relationship Id="rId235" Type="http://schemas.openxmlformats.org/officeDocument/2006/relationships/ctrlProp" Target="../ctrlProps/ctrlProp289.xml"/><Relationship Id="rId256" Type="http://schemas.openxmlformats.org/officeDocument/2006/relationships/ctrlProp" Target="../ctrlProps/ctrlProp310.xml"/><Relationship Id="rId277" Type="http://schemas.openxmlformats.org/officeDocument/2006/relationships/ctrlProp" Target="../ctrlProps/ctrlProp331.xml"/><Relationship Id="rId116" Type="http://schemas.openxmlformats.org/officeDocument/2006/relationships/ctrlProp" Target="../ctrlProps/ctrlProp170.xml"/><Relationship Id="rId137" Type="http://schemas.openxmlformats.org/officeDocument/2006/relationships/ctrlProp" Target="../ctrlProps/ctrlProp191.xml"/><Relationship Id="rId158" Type="http://schemas.openxmlformats.org/officeDocument/2006/relationships/ctrlProp" Target="../ctrlProps/ctrlProp212.xml"/><Relationship Id="rId20" Type="http://schemas.openxmlformats.org/officeDocument/2006/relationships/ctrlProp" Target="../ctrlProps/ctrlProp74.xml"/><Relationship Id="rId41" Type="http://schemas.openxmlformats.org/officeDocument/2006/relationships/ctrlProp" Target="../ctrlProps/ctrlProp95.xml"/><Relationship Id="rId62" Type="http://schemas.openxmlformats.org/officeDocument/2006/relationships/ctrlProp" Target="../ctrlProps/ctrlProp116.xml"/><Relationship Id="rId83" Type="http://schemas.openxmlformats.org/officeDocument/2006/relationships/ctrlProp" Target="../ctrlProps/ctrlProp137.xml"/><Relationship Id="rId179" Type="http://schemas.openxmlformats.org/officeDocument/2006/relationships/ctrlProp" Target="../ctrlProps/ctrlProp233.xml"/><Relationship Id="rId190" Type="http://schemas.openxmlformats.org/officeDocument/2006/relationships/ctrlProp" Target="../ctrlProps/ctrlProp244.xml"/><Relationship Id="rId204" Type="http://schemas.openxmlformats.org/officeDocument/2006/relationships/ctrlProp" Target="../ctrlProps/ctrlProp258.xml"/><Relationship Id="rId225" Type="http://schemas.openxmlformats.org/officeDocument/2006/relationships/ctrlProp" Target="../ctrlProps/ctrlProp279.xml"/><Relationship Id="rId246" Type="http://schemas.openxmlformats.org/officeDocument/2006/relationships/ctrlProp" Target="../ctrlProps/ctrlProp300.xml"/><Relationship Id="rId267" Type="http://schemas.openxmlformats.org/officeDocument/2006/relationships/ctrlProp" Target="../ctrlProps/ctrlProp321.xml"/><Relationship Id="rId288" Type="http://schemas.openxmlformats.org/officeDocument/2006/relationships/ctrlProp" Target="../ctrlProps/ctrlProp342.xml"/><Relationship Id="rId106" Type="http://schemas.openxmlformats.org/officeDocument/2006/relationships/ctrlProp" Target="../ctrlProps/ctrlProp160.xml"/><Relationship Id="rId127" Type="http://schemas.openxmlformats.org/officeDocument/2006/relationships/ctrlProp" Target="../ctrlProps/ctrlProp181.xml"/><Relationship Id="rId10" Type="http://schemas.openxmlformats.org/officeDocument/2006/relationships/ctrlProp" Target="../ctrlProps/ctrlProp64.xml"/><Relationship Id="rId31" Type="http://schemas.openxmlformats.org/officeDocument/2006/relationships/ctrlProp" Target="../ctrlProps/ctrlProp85.xml"/><Relationship Id="rId52" Type="http://schemas.openxmlformats.org/officeDocument/2006/relationships/ctrlProp" Target="../ctrlProps/ctrlProp106.xml"/><Relationship Id="rId73" Type="http://schemas.openxmlformats.org/officeDocument/2006/relationships/ctrlProp" Target="../ctrlProps/ctrlProp127.xml"/><Relationship Id="rId94" Type="http://schemas.openxmlformats.org/officeDocument/2006/relationships/ctrlProp" Target="../ctrlProps/ctrlProp148.xml"/><Relationship Id="rId148" Type="http://schemas.openxmlformats.org/officeDocument/2006/relationships/ctrlProp" Target="../ctrlProps/ctrlProp202.xml"/><Relationship Id="rId169" Type="http://schemas.openxmlformats.org/officeDocument/2006/relationships/ctrlProp" Target="../ctrlProps/ctrlProp223.xml"/><Relationship Id="rId4" Type="http://schemas.openxmlformats.org/officeDocument/2006/relationships/vmlDrawing" Target="../drawings/vmlDrawing3.vml"/><Relationship Id="rId180" Type="http://schemas.openxmlformats.org/officeDocument/2006/relationships/ctrlProp" Target="../ctrlProps/ctrlProp234.xml"/><Relationship Id="rId215" Type="http://schemas.openxmlformats.org/officeDocument/2006/relationships/ctrlProp" Target="../ctrlProps/ctrlProp269.xml"/><Relationship Id="rId236" Type="http://schemas.openxmlformats.org/officeDocument/2006/relationships/ctrlProp" Target="../ctrlProps/ctrlProp290.xml"/><Relationship Id="rId257" Type="http://schemas.openxmlformats.org/officeDocument/2006/relationships/ctrlProp" Target="../ctrlProps/ctrlProp311.xml"/><Relationship Id="rId278" Type="http://schemas.openxmlformats.org/officeDocument/2006/relationships/ctrlProp" Target="../ctrlProps/ctrlProp332.xml"/><Relationship Id="rId42" Type="http://schemas.openxmlformats.org/officeDocument/2006/relationships/ctrlProp" Target="../ctrlProps/ctrlProp96.xml"/><Relationship Id="rId84" Type="http://schemas.openxmlformats.org/officeDocument/2006/relationships/ctrlProp" Target="../ctrlProps/ctrlProp138.xml"/><Relationship Id="rId138" Type="http://schemas.openxmlformats.org/officeDocument/2006/relationships/ctrlProp" Target="../ctrlProps/ctrlProp192.xml"/><Relationship Id="rId191" Type="http://schemas.openxmlformats.org/officeDocument/2006/relationships/ctrlProp" Target="../ctrlProps/ctrlProp245.xml"/><Relationship Id="rId205" Type="http://schemas.openxmlformats.org/officeDocument/2006/relationships/ctrlProp" Target="../ctrlProps/ctrlProp259.xml"/><Relationship Id="rId247" Type="http://schemas.openxmlformats.org/officeDocument/2006/relationships/ctrlProp" Target="../ctrlProps/ctrlProp301.xml"/><Relationship Id="rId107" Type="http://schemas.openxmlformats.org/officeDocument/2006/relationships/ctrlProp" Target="../ctrlProps/ctrlProp161.xml"/><Relationship Id="rId289" Type="http://schemas.openxmlformats.org/officeDocument/2006/relationships/ctrlProp" Target="../ctrlProps/ctrlProp343.xml"/><Relationship Id="rId11" Type="http://schemas.openxmlformats.org/officeDocument/2006/relationships/ctrlProp" Target="../ctrlProps/ctrlProp65.xml"/><Relationship Id="rId53" Type="http://schemas.openxmlformats.org/officeDocument/2006/relationships/ctrlProp" Target="../ctrlProps/ctrlProp107.xml"/><Relationship Id="rId149" Type="http://schemas.openxmlformats.org/officeDocument/2006/relationships/ctrlProp" Target="../ctrlProps/ctrlProp203.xml"/><Relationship Id="rId95" Type="http://schemas.openxmlformats.org/officeDocument/2006/relationships/ctrlProp" Target="../ctrlProps/ctrlProp149.xml"/><Relationship Id="rId160" Type="http://schemas.openxmlformats.org/officeDocument/2006/relationships/ctrlProp" Target="../ctrlProps/ctrlProp214.xml"/><Relationship Id="rId216" Type="http://schemas.openxmlformats.org/officeDocument/2006/relationships/ctrlProp" Target="../ctrlProps/ctrlProp270.xml"/><Relationship Id="rId258" Type="http://schemas.openxmlformats.org/officeDocument/2006/relationships/ctrlProp" Target="../ctrlProps/ctrlProp312.xml"/><Relationship Id="rId22" Type="http://schemas.openxmlformats.org/officeDocument/2006/relationships/ctrlProp" Target="../ctrlProps/ctrlProp76.xml"/><Relationship Id="rId64" Type="http://schemas.openxmlformats.org/officeDocument/2006/relationships/ctrlProp" Target="../ctrlProps/ctrlProp118.xml"/><Relationship Id="rId118" Type="http://schemas.openxmlformats.org/officeDocument/2006/relationships/ctrlProp" Target="../ctrlProps/ctrlProp172.xml"/><Relationship Id="rId171" Type="http://schemas.openxmlformats.org/officeDocument/2006/relationships/ctrlProp" Target="../ctrlProps/ctrlProp225.xml"/><Relationship Id="rId227" Type="http://schemas.openxmlformats.org/officeDocument/2006/relationships/ctrlProp" Target="../ctrlProps/ctrlProp28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uniteforsight.org/research-methodology/module4" TargetMode="External"/><Relationship Id="rId1" Type="http://schemas.openxmlformats.org/officeDocument/2006/relationships/hyperlink" Target="https://www.povertyactionlab.org/research-resources/measurement-and-data-collecti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F7B3A-1884-4485-87E0-94074A492B86}">
  <sheetPr codeName="Sheet1"/>
  <dimension ref="A1:B10"/>
  <sheetViews>
    <sheetView tabSelected="1" workbookViewId="0">
      <selection sqref="A1:B1"/>
    </sheetView>
  </sheetViews>
  <sheetFormatPr defaultColWidth="8.68359375" defaultRowHeight="15.3"/>
  <cols>
    <col min="1" max="1" width="8.68359375" style="47"/>
    <col min="2" max="2" width="121.1015625" style="47" customWidth="1"/>
    <col min="3" max="16384" width="8.68359375" style="47"/>
  </cols>
  <sheetData>
    <row r="1" spans="1:2" ht="17.399999999999999">
      <c r="A1" s="156" t="s">
        <v>229</v>
      </c>
      <c r="B1" s="156"/>
    </row>
    <row r="2" spans="1:2">
      <c r="A2" s="154" t="s">
        <v>228</v>
      </c>
      <c r="B2" s="155"/>
    </row>
    <row r="3" spans="1:2">
      <c r="A3" s="146" t="s">
        <v>223</v>
      </c>
      <c r="B3" s="147"/>
    </row>
    <row r="4" spans="1:2" ht="107.1">
      <c r="A4" s="143"/>
      <c r="B4" s="148" t="s">
        <v>224</v>
      </c>
    </row>
    <row r="5" spans="1:2">
      <c r="A5" s="146" t="s">
        <v>94</v>
      </c>
      <c r="B5" s="149"/>
    </row>
    <row r="6" spans="1:2">
      <c r="A6" s="143">
        <v>1</v>
      </c>
      <c r="B6" s="144" t="s">
        <v>159</v>
      </c>
    </row>
    <row r="7" spans="1:2">
      <c r="A7" s="143">
        <v>2</v>
      </c>
      <c r="B7" s="145" t="s">
        <v>160</v>
      </c>
    </row>
    <row r="8" spans="1:2">
      <c r="A8" s="143">
        <v>3</v>
      </c>
      <c r="B8" s="145" t="s">
        <v>161</v>
      </c>
    </row>
    <row r="9" spans="1:2">
      <c r="A9" s="143">
        <v>4</v>
      </c>
      <c r="B9" s="145" t="s">
        <v>162</v>
      </c>
    </row>
    <row r="10" spans="1:2">
      <c r="A10" s="143">
        <v>5</v>
      </c>
      <c r="B10" s="145" t="s">
        <v>163</v>
      </c>
    </row>
  </sheetData>
  <sheetProtection sheet="1" objects="1" scenarios="1"/>
  <mergeCells count="1">
    <mergeCell ref="A1:B1"/>
  </mergeCells>
  <phoneticPr fontId="2"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5DDC7-81A2-4E34-8BE6-0F9CA4DC5502}">
  <sheetPr codeName="Sheet3"/>
  <dimension ref="A1:N23"/>
  <sheetViews>
    <sheetView zoomScaleNormal="100" workbookViewId="0">
      <selection sqref="A1:D1"/>
    </sheetView>
  </sheetViews>
  <sheetFormatPr defaultColWidth="8.68359375" defaultRowHeight="14.4" outlineLevelRow="1"/>
  <cols>
    <col min="1" max="1" width="35.47265625" style="34" customWidth="1"/>
    <col min="2" max="2" width="30.15625" style="34" customWidth="1"/>
    <col min="3" max="3" width="16" style="34" customWidth="1"/>
    <col min="4" max="4" width="18.89453125" style="34" customWidth="1"/>
    <col min="5" max="5" width="16" style="34" customWidth="1"/>
    <col min="6" max="7" width="20.1015625" style="34" customWidth="1"/>
    <col min="8" max="8" width="20.3125" style="34" customWidth="1"/>
    <col min="9" max="9" width="15.68359375" customWidth="1"/>
    <col min="10" max="10" width="20.41796875" style="34" customWidth="1"/>
    <col min="11" max="11" width="20.83984375" style="34" customWidth="1"/>
    <col min="12" max="12" width="14.47265625" style="34" customWidth="1"/>
    <col min="13" max="13" width="17.26171875" style="34" bestFit="1" customWidth="1"/>
    <col min="14" max="14" width="15.3125" style="34" customWidth="1"/>
    <col min="15" max="16384" width="8.68359375" style="34"/>
  </cols>
  <sheetData>
    <row r="1" spans="1:14" ht="17.399999999999999">
      <c r="A1" s="157" t="s">
        <v>229</v>
      </c>
      <c r="B1" s="157"/>
      <c r="C1" s="157"/>
      <c r="D1" s="157"/>
    </row>
    <row r="2" spans="1:14" ht="14.7" thickBot="1">
      <c r="A2" s="161" t="s">
        <v>164</v>
      </c>
      <c r="B2" s="161"/>
      <c r="C2" s="161"/>
      <c r="D2" s="161"/>
    </row>
    <row r="3" spans="1:14" outlineLevel="1">
      <c r="A3" s="168" t="s">
        <v>212</v>
      </c>
      <c r="B3" s="169"/>
      <c r="C3" s="169"/>
      <c r="D3" s="170"/>
    </row>
    <row r="4" spans="1:14" outlineLevel="1">
      <c r="A4" s="162" t="s">
        <v>213</v>
      </c>
      <c r="B4" s="163"/>
      <c r="C4" s="163"/>
      <c r="D4" s="164"/>
    </row>
    <row r="5" spans="1:14" outlineLevel="1">
      <c r="A5" s="162" t="s">
        <v>214</v>
      </c>
      <c r="B5" s="163"/>
      <c r="C5" s="163"/>
      <c r="D5" s="164"/>
    </row>
    <row r="6" spans="1:14" outlineLevel="1">
      <c r="A6" s="165" t="s">
        <v>215</v>
      </c>
      <c r="B6" s="166"/>
      <c r="C6" s="166"/>
      <c r="D6" s="167"/>
    </row>
    <row r="7" spans="1:14" outlineLevel="1">
      <c r="A7" s="162" t="s">
        <v>216</v>
      </c>
      <c r="B7" s="163"/>
      <c r="C7" s="163"/>
      <c r="D7" s="164"/>
    </row>
    <row r="8" spans="1:14" outlineLevel="1">
      <c r="A8" s="162" t="s">
        <v>217</v>
      </c>
      <c r="B8" s="163"/>
      <c r="C8" s="163"/>
      <c r="D8" s="164"/>
    </row>
    <row r="9" spans="1:14" outlineLevel="1">
      <c r="A9" s="162" t="s">
        <v>218</v>
      </c>
      <c r="B9" s="163"/>
      <c r="C9" s="163"/>
      <c r="D9" s="164"/>
    </row>
    <row r="10" spans="1:14" s="106" customFormat="1" ht="14.7" outlineLevel="1" thickBot="1">
      <c r="A10" s="158" t="s">
        <v>232</v>
      </c>
      <c r="B10" s="159"/>
      <c r="C10" s="159"/>
      <c r="D10" s="160"/>
      <c r="I10" s="107"/>
    </row>
    <row r="12" spans="1:14" ht="36.9">
      <c r="A12" s="60" t="s">
        <v>131</v>
      </c>
      <c r="B12" s="60" t="s">
        <v>132</v>
      </c>
      <c r="C12" s="56" t="s">
        <v>7</v>
      </c>
      <c r="D12" s="56" t="s">
        <v>105</v>
      </c>
      <c r="E12" s="56" t="s">
        <v>8</v>
      </c>
      <c r="F12" s="56" t="s">
        <v>106</v>
      </c>
      <c r="G12" s="56" t="s">
        <v>110</v>
      </c>
      <c r="H12" s="56" t="s">
        <v>109</v>
      </c>
      <c r="I12" s="56" t="s">
        <v>111</v>
      </c>
      <c r="J12" s="56" t="s">
        <v>108</v>
      </c>
      <c r="K12" s="56" t="s">
        <v>107</v>
      </c>
      <c r="L12" s="56" t="s">
        <v>20</v>
      </c>
      <c r="M12" s="56" t="s">
        <v>133</v>
      </c>
      <c r="N12" s="56" t="s">
        <v>21</v>
      </c>
    </row>
    <row r="13" spans="1:14" s="38" customFormat="1" ht="14.1">
      <c r="A13" s="137"/>
      <c r="B13" s="138"/>
      <c r="C13" s="138"/>
      <c r="D13" s="138"/>
      <c r="E13" s="71" t="str">
        <f>'2 Relevance Index'!H34</f>
        <v/>
      </c>
      <c r="F13" s="72" t="str">
        <f>'2 Relevance Index'!G35</f>
        <v/>
      </c>
      <c r="G13" s="72" t="str">
        <f>IF(OR(F13="Moderate Relevance",F13="High Relevance"),"Yes",IF(F13="Low Relevance","No",""))</f>
        <v/>
      </c>
      <c r="H13" s="138"/>
      <c r="I13" s="73" t="str">
        <f>IF('3 Credibility Index'!C66=0,"",'3 Credibility Index'!C66)</f>
        <v/>
      </c>
      <c r="J13" s="74" t="str">
        <f>IF(I13&lt;10,0.2,IF(I13&lt;20,0.6,IF(I13&lt;=27,1,IF(I13="","",""))))</f>
        <v/>
      </c>
      <c r="K13" s="72" t="str">
        <f>IF(J13&lt;=0.2,"Low Credibility",IF(J13&lt;=0.6,"Moderate Credibility",IF(J13&lt;=1,"High Credibility",IF(J13="",""))))</f>
        <v/>
      </c>
      <c r="L13" s="138"/>
      <c r="M13" s="138"/>
      <c r="N13" s="74" t="str">
        <f>IF(M13="Yes",L13*J13,IF(M13="No","N.A.",""))</f>
        <v/>
      </c>
    </row>
    <row r="14" spans="1:14" s="38" customFormat="1" ht="14.1">
      <c r="A14" s="137"/>
      <c r="B14" s="138"/>
      <c r="C14" s="138"/>
      <c r="D14" s="138"/>
      <c r="E14" s="71" t="str">
        <f>'2 Relevance Index'!L34</f>
        <v/>
      </c>
      <c r="F14" s="71" t="str">
        <f>'2 Relevance Index'!K35</f>
        <v/>
      </c>
      <c r="G14" s="72" t="str">
        <f>IF(OR(F14="Moderate Relevance",F14="High Relevance"),"Yes",IF(F14="Low Relevance","No",""))</f>
        <v/>
      </c>
      <c r="H14" s="138"/>
      <c r="I14" s="73" t="str">
        <f>IF('3 Credibility Index'!E66=0,"",'3 Credibility Index'!E66)</f>
        <v/>
      </c>
      <c r="J14" s="74" t="str">
        <f>IF(I14&lt;10,0.2,IF(I14&lt;20,0.6,IF(I14&lt;=27,1,IF(I14="","",""))))</f>
        <v/>
      </c>
      <c r="K14" s="72" t="str">
        <f>IF(J14&lt;=0.2,"Low Credibility",IF(J14&lt;=0.6,"Moderate Credibility",IF(J14&lt;=1,"High Credibility",IF(J14="",""))))</f>
        <v/>
      </c>
      <c r="L14" s="138"/>
      <c r="M14" s="138"/>
      <c r="N14" s="74" t="str">
        <f t="shared" ref="N14:N17" si="0">IF(M14="Yes",L14*J14,IF(M14="No","N.A.",""))</f>
        <v/>
      </c>
    </row>
    <row r="15" spans="1:14" s="38" customFormat="1" ht="14.1">
      <c r="A15" s="137"/>
      <c r="B15" s="138"/>
      <c r="C15" s="138"/>
      <c r="D15" s="138"/>
      <c r="E15" s="71" t="str">
        <f>'2 Relevance Index'!P34</f>
        <v/>
      </c>
      <c r="F15" s="71" t="str">
        <f>'2 Relevance Index'!O35</f>
        <v/>
      </c>
      <c r="G15" s="72" t="str">
        <f>IF(OR(F15="Moderate Relevance",F15="High Relevance"),"Yes",IF(F15="Low Relevance","No",""))</f>
        <v/>
      </c>
      <c r="H15" s="138"/>
      <c r="I15" s="73" t="str">
        <f>IF('3 Credibility Index'!G66=0,"",'3 Credibility Index'!G66)</f>
        <v/>
      </c>
      <c r="J15" s="74" t="str">
        <f t="shared" ref="J15:J17" si="1">IF(I15&lt;10,0.2,IF(I15&lt;20,0.6,IF(I15&lt;=27,1,IF(I15="","",""))))</f>
        <v/>
      </c>
      <c r="K15" s="72" t="str">
        <f t="shared" ref="K15:K17" si="2">IF(J15&lt;=0.2,"Low Credibility",IF(J15&lt;=0.6,"Moderate Credibility",IF(J15&lt;=1,"High Credibility",IF(J15="",""))))</f>
        <v/>
      </c>
      <c r="L15" s="138"/>
      <c r="M15" s="138"/>
      <c r="N15" s="74" t="str">
        <f t="shared" si="0"/>
        <v/>
      </c>
    </row>
    <row r="16" spans="1:14" s="38" customFormat="1" ht="14.1">
      <c r="A16" s="137"/>
      <c r="B16" s="138"/>
      <c r="C16" s="138"/>
      <c r="D16" s="138"/>
      <c r="E16" s="71" t="str">
        <f>'2 Relevance Index'!T34</f>
        <v/>
      </c>
      <c r="F16" s="71" t="str">
        <f>'2 Relevance Index'!S35</f>
        <v/>
      </c>
      <c r="G16" s="72" t="str">
        <f>IF(OR(F16="Moderate Relevance",F16="High Relevance"),"Yes",IF(F16="Low Relevance","No",""))</f>
        <v/>
      </c>
      <c r="H16" s="138"/>
      <c r="I16" s="73" t="str">
        <f>IF('3 Credibility Index'!I66=0,"",'3 Credibility Index'!I66)</f>
        <v/>
      </c>
      <c r="J16" s="74" t="str">
        <f t="shared" si="1"/>
        <v/>
      </c>
      <c r="K16" s="72" t="str">
        <f t="shared" si="2"/>
        <v/>
      </c>
      <c r="L16" s="138"/>
      <c r="M16" s="138"/>
      <c r="N16" s="74" t="str">
        <f t="shared" si="0"/>
        <v/>
      </c>
    </row>
    <row r="17" spans="1:14" s="38" customFormat="1" ht="14.1">
      <c r="A17" s="137"/>
      <c r="B17" s="138"/>
      <c r="C17" s="138"/>
      <c r="D17" s="138"/>
      <c r="E17" s="71" t="str">
        <f>'2 Relevance Index'!X34</f>
        <v/>
      </c>
      <c r="F17" s="71" t="str">
        <f>'2 Relevance Index'!W35</f>
        <v/>
      </c>
      <c r="G17" s="72" t="str">
        <f>IF(OR(F17="Moderate Relevance",F17="High Relevance"),"Yes",IF(F17="Low Relevance","No",""))</f>
        <v/>
      </c>
      <c r="H17" s="138"/>
      <c r="I17" s="73" t="str">
        <f>IF('3 Credibility Index'!K66=0,"",'3 Credibility Index'!K66)</f>
        <v/>
      </c>
      <c r="J17" s="74" t="str">
        <f t="shared" si="1"/>
        <v/>
      </c>
      <c r="K17" s="72" t="str">
        <f t="shared" si="2"/>
        <v/>
      </c>
      <c r="L17" s="138"/>
      <c r="M17" s="138"/>
      <c r="N17" s="74" t="str">
        <f t="shared" si="0"/>
        <v/>
      </c>
    </row>
    <row r="18" spans="1:14">
      <c r="B18" s="35"/>
      <c r="C18" s="36"/>
      <c r="D18" s="35"/>
      <c r="E18" s="35"/>
      <c r="F18" s="35"/>
      <c r="G18" s="37"/>
      <c r="H18" s="35"/>
      <c r="J18" s="35"/>
      <c r="K18" s="35"/>
      <c r="L18" s="35"/>
      <c r="M18" s="35"/>
      <c r="N18" s="35"/>
    </row>
    <row r="19" spans="1:14">
      <c r="B19" s="61"/>
      <c r="C19" s="35"/>
      <c r="D19" s="35"/>
      <c r="E19" s="35"/>
      <c r="F19" s="35"/>
      <c r="G19" s="37"/>
      <c r="H19" s="35"/>
      <c r="J19" s="35"/>
      <c r="K19" s="35"/>
      <c r="L19" s="35"/>
      <c r="M19" s="35"/>
      <c r="N19" s="35"/>
    </row>
    <row r="20" spans="1:14">
      <c r="G20" s="37"/>
    </row>
    <row r="21" spans="1:14">
      <c r="G21" s="37"/>
    </row>
    <row r="22" spans="1:14">
      <c r="G22" s="35"/>
    </row>
    <row r="23" spans="1:14">
      <c r="G23" s="35"/>
    </row>
  </sheetData>
  <sheetProtection algorithmName="SHA-512" hashValue="XG+VrApe/CrDClgj/Hyta/QWki6neG6OwXKq71G7VYapu+bwAW7l+ukVrDd0VrfJTYmZBYRVxeU5PKorEZ8mHw==" saltValue="pld13TCDj/c2XZzZH0JnIg==" spinCount="100000" sheet="1" objects="1" scenarios="1"/>
  <mergeCells count="10">
    <mergeCell ref="A1:D1"/>
    <mergeCell ref="A10:D10"/>
    <mergeCell ref="A2:D2"/>
    <mergeCell ref="A4:D4"/>
    <mergeCell ref="A5:D5"/>
    <mergeCell ref="A6:D6"/>
    <mergeCell ref="A7:D7"/>
    <mergeCell ref="A8:D8"/>
    <mergeCell ref="A9:D9"/>
    <mergeCell ref="A3:D3"/>
  </mergeCells>
  <phoneticPr fontId="2" type="noConversion"/>
  <conditionalFormatting sqref="F13:G13 F14:F17 G14:G21 K13:K17">
    <cfRule type="containsText" dxfId="7" priority="1" operator="containsText" text="High">
      <formula>NOT(ISERROR(SEARCH("High",F13)))</formula>
    </cfRule>
    <cfRule type="containsText" dxfId="6" priority="2" operator="containsText" text="Moderate">
      <formula>NOT(ISERROR(SEARCH("Moderate",F13)))</formula>
    </cfRule>
    <cfRule type="containsText" dxfId="5" priority="3" operator="containsText" text="Low">
      <formula>NOT(ISERROR(SEARCH("Low",F13)))</formula>
    </cfRule>
  </conditionalFormatting>
  <dataValidations count="1">
    <dataValidation type="list" allowBlank="1" showInputMessage="1" showErrorMessage="1" sqref="H13:H17 M13:M17" xr:uid="{06A96269-66D9-41C3-8285-6F06A6E2246B}">
      <formula1>"Yes,No"</formula1>
    </dataValidation>
  </dataValidations>
  <pageMargins left="0.7" right="0.7" top="0.75" bottom="0.75" header="0.3" footer="0.3"/>
  <pageSetup paperSize="9" orientation="landscape"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1EB1C-F7D0-4ED2-989B-FCD25785432D}">
  <sheetPr codeName="Sheet4"/>
  <dimension ref="A1:AK36"/>
  <sheetViews>
    <sheetView zoomScaleNormal="100" workbookViewId="0">
      <pane xSplit="5" ySplit="12" topLeftCell="F13" activePane="bottomRight" state="frozen"/>
      <selection pane="topRight" activeCell="H1" sqref="H1"/>
      <selection pane="bottomLeft" activeCell="A8" sqref="A8"/>
      <selection pane="bottomRight" sqref="A1:E1"/>
    </sheetView>
  </sheetViews>
  <sheetFormatPr defaultColWidth="8.68359375" defaultRowHeight="14.1" outlineLevelRow="1"/>
  <cols>
    <col min="1" max="1" width="14.41796875" style="2" customWidth="1"/>
    <col min="2" max="2" width="47.47265625" style="2" customWidth="1"/>
    <col min="3" max="3" width="17.1015625" style="42" customWidth="1"/>
    <col min="4" max="4" width="17.1015625" style="5" hidden="1" customWidth="1"/>
    <col min="5" max="5" width="36.83984375" style="2" customWidth="1"/>
    <col min="6" max="6" width="3.41796875" style="2" customWidth="1"/>
    <col min="7" max="7" width="36.47265625" style="2" customWidth="1"/>
    <col min="8" max="8" width="18.47265625" style="2" customWidth="1"/>
    <col min="9" max="9" width="17.1015625" style="2" hidden="1" customWidth="1"/>
    <col min="10" max="10" width="3.41796875" style="2" customWidth="1"/>
    <col min="11" max="11" width="36.47265625" style="2" customWidth="1"/>
    <col min="12" max="12" width="18.47265625" style="2" customWidth="1"/>
    <col min="13" max="13" width="15.83984375" style="2" hidden="1" customWidth="1"/>
    <col min="14" max="14" width="3.1015625" style="2" customWidth="1"/>
    <col min="15" max="15" width="36.47265625" style="2" customWidth="1"/>
    <col min="16" max="16" width="18.47265625" style="2" customWidth="1"/>
    <col min="17" max="17" width="15.83984375" style="2" hidden="1" customWidth="1"/>
    <col min="18" max="18" width="3.41796875" style="2" customWidth="1"/>
    <col min="19" max="19" width="36.47265625" style="2" customWidth="1"/>
    <col min="20" max="20" width="18.47265625" style="2" customWidth="1"/>
    <col min="21" max="21" width="15.83984375" style="2" hidden="1" customWidth="1"/>
    <col min="22" max="22" width="4.26171875" style="2" customWidth="1"/>
    <col min="23" max="23" width="36.47265625" style="2" customWidth="1"/>
    <col min="24" max="24" width="18.47265625" style="2" customWidth="1"/>
    <col min="25" max="25" width="14.68359375" style="2" hidden="1" customWidth="1"/>
    <col min="26" max="16384" width="8.68359375" style="2"/>
  </cols>
  <sheetData>
    <row r="1" spans="1:37" s="34" customFormat="1" ht="17.399999999999999">
      <c r="A1" s="157" t="s">
        <v>229</v>
      </c>
      <c r="B1" s="157"/>
      <c r="C1" s="157"/>
      <c r="D1" s="157"/>
      <c r="E1" s="157"/>
      <c r="I1"/>
    </row>
    <row r="2" spans="1:37" s="100" customFormat="1" ht="14.4" thickBot="1">
      <c r="A2" s="171" t="s">
        <v>203</v>
      </c>
      <c r="B2" s="171"/>
      <c r="C2" s="171"/>
      <c r="D2" s="171"/>
      <c r="E2" s="171"/>
    </row>
    <row r="3" spans="1:37" s="100" customFormat="1" ht="30.55" customHeight="1" outlineLevel="1">
      <c r="A3" s="173" t="s">
        <v>154</v>
      </c>
      <c r="B3" s="174"/>
      <c r="C3" s="174"/>
      <c r="D3" s="174"/>
      <c r="E3" s="175"/>
    </row>
    <row r="4" spans="1:37" s="100" customFormat="1" outlineLevel="1">
      <c r="A4" s="176" t="s">
        <v>204</v>
      </c>
      <c r="B4" s="177"/>
      <c r="C4" s="177"/>
      <c r="D4" s="177"/>
      <c r="E4" s="178"/>
    </row>
    <row r="5" spans="1:37" s="100" customFormat="1" outlineLevel="1">
      <c r="A5" s="176" t="s">
        <v>225</v>
      </c>
      <c r="B5" s="177"/>
      <c r="C5" s="177"/>
      <c r="D5" s="177"/>
      <c r="E5" s="178"/>
    </row>
    <row r="6" spans="1:37" s="100" customFormat="1" outlineLevel="1">
      <c r="A6" s="176" t="s">
        <v>222</v>
      </c>
      <c r="B6" s="177"/>
      <c r="C6" s="177"/>
      <c r="D6" s="177"/>
      <c r="E6" s="178"/>
    </row>
    <row r="7" spans="1:37" s="100" customFormat="1" outlineLevel="1">
      <c r="A7" s="176" t="s">
        <v>165</v>
      </c>
      <c r="B7" s="177"/>
      <c r="C7" s="177"/>
      <c r="D7" s="177"/>
      <c r="E7" s="178"/>
    </row>
    <row r="8" spans="1:37" s="100" customFormat="1" outlineLevel="1">
      <c r="A8" s="176" t="s">
        <v>205</v>
      </c>
      <c r="B8" s="177"/>
      <c r="C8" s="177"/>
      <c r="D8" s="177"/>
      <c r="E8" s="178"/>
    </row>
    <row r="9" spans="1:37" s="100" customFormat="1" ht="14.4" outlineLevel="1" thickBot="1">
      <c r="A9" s="179" t="s">
        <v>155</v>
      </c>
      <c r="B9" s="180"/>
      <c r="C9" s="180"/>
      <c r="D9" s="180"/>
      <c r="E9" s="181"/>
    </row>
    <row r="10" spans="1:37" s="100" customFormat="1">
      <c r="A10" s="182" t="s">
        <v>226</v>
      </c>
      <c r="B10" s="182"/>
      <c r="C10" s="141"/>
      <c r="D10" s="141"/>
      <c r="E10" s="141"/>
    </row>
    <row r="11" spans="1:37" s="100" customFormat="1" ht="15">
      <c r="A11" s="187" t="s">
        <v>95</v>
      </c>
      <c r="B11" s="187"/>
      <c r="C11" s="187"/>
      <c r="D11" s="187"/>
      <c r="E11" s="187"/>
      <c r="G11" s="187" t="str">
        <f>IF('1 Summary Table'!B13="","Please leave this table blank",'1 Summary Table'!B13)</f>
        <v>Please leave this table blank</v>
      </c>
      <c r="H11" s="187"/>
      <c r="I11" s="187"/>
      <c r="K11" s="187" t="str">
        <f>IF('1 Summary Table'!B14="","Please leave this table blank",'1 Summary Table'!B14)</f>
        <v>Please leave this table blank</v>
      </c>
      <c r="L11" s="187"/>
      <c r="M11" s="187"/>
      <c r="O11" s="187" t="str">
        <f>IF('1 Summary Table'!B15="","Please leave this table blank",'1 Summary Table'!B15)</f>
        <v>Please leave this table blank</v>
      </c>
      <c r="P11" s="187"/>
      <c r="Q11" s="187"/>
      <c r="S11" s="187" t="str">
        <f>IF('1 Summary Table'!B16="","Please leave this table blank",'1 Summary Table'!B16)</f>
        <v>Please leave this table blank</v>
      </c>
      <c r="T11" s="187"/>
      <c r="U11" s="187"/>
      <c r="W11" s="187" t="str">
        <f>IF('1 Summary Table'!B17="","Please leave this table blank",'1 Summary Table'!B17)</f>
        <v>Please leave this table blank</v>
      </c>
      <c r="X11" s="187"/>
      <c r="Y11" s="187"/>
    </row>
    <row r="12" spans="1:37" ht="24.6">
      <c r="A12" s="54" t="s">
        <v>102</v>
      </c>
      <c r="B12" s="43" t="s">
        <v>22</v>
      </c>
      <c r="C12" s="41" t="s">
        <v>112</v>
      </c>
      <c r="D12" s="17" t="s">
        <v>57</v>
      </c>
      <c r="E12" s="64" t="s">
        <v>103</v>
      </c>
      <c r="G12" s="43" t="s">
        <v>104</v>
      </c>
      <c r="H12" s="41" t="s">
        <v>23</v>
      </c>
      <c r="I12" s="17" t="s">
        <v>23</v>
      </c>
      <c r="K12" s="43" t="s">
        <v>104</v>
      </c>
      <c r="L12" s="41" t="s">
        <v>23</v>
      </c>
      <c r="M12" s="41" t="s">
        <v>23</v>
      </c>
      <c r="O12" s="43" t="s">
        <v>104</v>
      </c>
      <c r="P12" s="41" t="s">
        <v>23</v>
      </c>
      <c r="Q12" s="41" t="s">
        <v>23</v>
      </c>
      <c r="S12" s="43" t="s">
        <v>104</v>
      </c>
      <c r="T12" s="41" t="s">
        <v>23</v>
      </c>
      <c r="U12" s="41" t="s">
        <v>23</v>
      </c>
      <c r="W12" s="43" t="s">
        <v>104</v>
      </c>
      <c r="X12" s="41" t="s">
        <v>23</v>
      </c>
      <c r="Y12" s="41" t="s">
        <v>23</v>
      </c>
    </row>
    <row r="13" spans="1:37" ht="25.2">
      <c r="A13" s="46" t="s">
        <v>24</v>
      </c>
      <c r="B13" s="44" t="s">
        <v>25</v>
      </c>
      <c r="C13" s="132" t="s">
        <v>202</v>
      </c>
      <c r="D13" s="15">
        <f>IF(C13="very",3,IF(C13="moderately",2,IF(C13="slightly",1,IF(C13="not at all/unavailable",0))))</f>
        <v>0</v>
      </c>
      <c r="E13" s="130"/>
      <c r="F13" s="104"/>
      <c r="G13" s="132"/>
      <c r="H13" s="132"/>
      <c r="I13" s="132" t="b">
        <f>IF(H13="very",3,IF(H13="moderately",2,IF(H13="slightly",1,IF(H13="not at all/unavailable",0))))</f>
        <v>0</v>
      </c>
      <c r="J13" s="104"/>
      <c r="K13" s="132"/>
      <c r="L13" s="132"/>
      <c r="M13" s="132" t="b">
        <f>IF(L13="very",3,IF(L13="moderately",2,IF(L13="slightly",1,IF(L13="not at all/unavailable",0))))</f>
        <v>0</v>
      </c>
      <c r="N13" s="104"/>
      <c r="O13" s="132"/>
      <c r="P13" s="132"/>
      <c r="Q13" s="132" t="b">
        <f>IF(P13="very",3,IF(P13="moderately",2,IF(P13="slightly",1,IF(P13="not at all/unavailable",0))))</f>
        <v>0</v>
      </c>
      <c r="R13" s="104"/>
      <c r="S13" s="132"/>
      <c r="T13" s="132"/>
      <c r="U13" s="132" t="b">
        <f>IF(T13="very",3,IF(T13="moderately",2,IF(T13="slightly",1,IF(T13="not at all/unavailable",0))))</f>
        <v>0</v>
      </c>
      <c r="V13" s="104"/>
      <c r="W13" s="132"/>
      <c r="X13" s="132"/>
      <c r="Y13" s="101" t="b">
        <f>IF(X13="very",3,IF(X13="moderately",2,IF(X13="slightly",1,IF(X13="not at all/unavailable",0))))</f>
        <v>0</v>
      </c>
      <c r="Z13" s="100"/>
      <c r="AA13" s="100"/>
      <c r="AB13" s="100"/>
      <c r="AC13" s="100"/>
      <c r="AD13" s="100"/>
    </row>
    <row r="14" spans="1:37">
      <c r="A14" s="209" t="s">
        <v>26</v>
      </c>
      <c r="B14" s="45" t="s">
        <v>27</v>
      </c>
      <c r="C14" s="134" t="s">
        <v>97</v>
      </c>
      <c r="D14" s="16">
        <f t="shared" ref="D14:D31" si="0">IF(C14="very",3,IF(C14="moderately",2,IF(C14="slightly",1,IF(C14="not at all/unavailable",0))))</f>
        <v>0</v>
      </c>
      <c r="E14" s="131"/>
      <c r="F14" s="104"/>
      <c r="G14" s="133"/>
      <c r="H14" s="133"/>
      <c r="I14" s="134" t="b">
        <f t="shared" ref="I14:I31" si="1">IF(H14="very",3,IF(H14="moderately",2,IF(H14="slightly",1,IF(H14="not at all/unavailable",0))))</f>
        <v>0</v>
      </c>
      <c r="J14" s="104"/>
      <c r="K14" s="133"/>
      <c r="L14" s="133"/>
      <c r="M14" s="134" t="b">
        <f t="shared" ref="M14:M31" si="2">IF(L14="very",3,IF(L14="moderately",2,IF(L14="slightly",1,IF(L14="not at all/unavailable",0))))</f>
        <v>0</v>
      </c>
      <c r="N14" s="104"/>
      <c r="O14" s="133"/>
      <c r="P14" s="133"/>
      <c r="Q14" s="134" t="b">
        <f t="shared" ref="Q14:Q31" si="3">IF(P14="very",3,IF(P14="moderately",2,IF(P14="slightly",1,IF(P14="not at all/unavailable",0))))</f>
        <v>0</v>
      </c>
      <c r="R14" s="104"/>
      <c r="S14" s="133"/>
      <c r="T14" s="133"/>
      <c r="U14" s="134" t="b">
        <f t="shared" ref="U14:U31" si="4">IF(T14="very",3,IF(T14="moderately",2,IF(T14="slightly",1,IF(T14="not at all/unavailable",0))))</f>
        <v>0</v>
      </c>
      <c r="V14" s="104"/>
      <c r="W14" s="133"/>
      <c r="X14" s="133"/>
      <c r="Y14" s="102" t="b">
        <f t="shared" ref="Y14:Y31" si="5">IF(X14="very",3,IF(X14="moderately",2,IF(X14="slightly",1,IF(X14="not at all/unavailable",0))))</f>
        <v>0</v>
      </c>
      <c r="Z14" s="100"/>
      <c r="AA14" s="100"/>
      <c r="AB14" s="100"/>
      <c r="AC14" s="100"/>
      <c r="AD14" s="100"/>
      <c r="AE14" s="100"/>
      <c r="AF14" s="100"/>
      <c r="AG14" s="100"/>
      <c r="AH14" s="100"/>
      <c r="AI14" s="100"/>
      <c r="AJ14" s="100"/>
      <c r="AK14" s="100"/>
    </row>
    <row r="15" spans="1:37">
      <c r="A15" s="209"/>
      <c r="B15" s="45" t="s">
        <v>28</v>
      </c>
      <c r="C15" s="134" t="s">
        <v>113</v>
      </c>
      <c r="D15" s="16">
        <f t="shared" si="0"/>
        <v>0</v>
      </c>
      <c r="E15" s="131"/>
      <c r="F15" s="104"/>
      <c r="G15" s="133"/>
      <c r="H15" s="133"/>
      <c r="I15" s="134" t="b">
        <f t="shared" si="1"/>
        <v>0</v>
      </c>
      <c r="J15" s="104"/>
      <c r="K15" s="133"/>
      <c r="L15" s="133"/>
      <c r="M15" s="134" t="b">
        <f t="shared" si="2"/>
        <v>0</v>
      </c>
      <c r="N15" s="104"/>
      <c r="O15" s="133"/>
      <c r="P15" s="133"/>
      <c r="Q15" s="134" t="b">
        <f t="shared" si="3"/>
        <v>0</v>
      </c>
      <c r="R15" s="104"/>
      <c r="S15" s="133"/>
      <c r="T15" s="133"/>
      <c r="U15" s="134" t="b">
        <f t="shared" si="4"/>
        <v>0</v>
      </c>
      <c r="V15" s="104"/>
      <c r="W15" s="133"/>
      <c r="X15" s="133"/>
      <c r="Y15" s="102" t="b">
        <f t="shared" si="5"/>
        <v>0</v>
      </c>
      <c r="Z15" s="100"/>
      <c r="AA15" s="100"/>
      <c r="AB15" s="100"/>
      <c r="AC15" s="100"/>
      <c r="AD15" s="100"/>
    </row>
    <row r="16" spans="1:37">
      <c r="A16" s="209"/>
      <c r="B16" s="45" t="s">
        <v>29</v>
      </c>
      <c r="C16" s="134" t="s">
        <v>97</v>
      </c>
      <c r="D16" s="16">
        <f t="shared" si="0"/>
        <v>0</v>
      </c>
      <c r="E16" s="131"/>
      <c r="F16" s="104"/>
      <c r="G16" s="133"/>
      <c r="H16" s="133"/>
      <c r="I16" s="134" t="b">
        <f t="shared" si="1"/>
        <v>0</v>
      </c>
      <c r="J16" s="104"/>
      <c r="K16" s="133"/>
      <c r="L16" s="133"/>
      <c r="M16" s="134" t="b">
        <f t="shared" si="2"/>
        <v>0</v>
      </c>
      <c r="N16" s="104"/>
      <c r="O16" s="133"/>
      <c r="P16" s="133"/>
      <c r="Q16" s="134" t="b">
        <f t="shared" si="3"/>
        <v>0</v>
      </c>
      <c r="R16" s="104"/>
      <c r="S16" s="133"/>
      <c r="T16" s="133"/>
      <c r="U16" s="134" t="b">
        <f t="shared" si="4"/>
        <v>0</v>
      </c>
      <c r="V16" s="104"/>
      <c r="W16" s="133"/>
      <c r="X16" s="133"/>
      <c r="Y16" s="102" t="b">
        <f t="shared" si="5"/>
        <v>0</v>
      </c>
      <c r="Z16" s="100"/>
      <c r="AA16" s="100"/>
      <c r="AB16" s="100"/>
      <c r="AC16" s="100"/>
      <c r="AD16" s="100"/>
    </row>
    <row r="17" spans="1:30">
      <c r="A17" s="209"/>
      <c r="B17" s="45" t="s">
        <v>30</v>
      </c>
      <c r="C17" s="134" t="s">
        <v>113</v>
      </c>
      <c r="D17" s="16">
        <f t="shared" si="0"/>
        <v>0</v>
      </c>
      <c r="E17" s="131"/>
      <c r="F17" s="104"/>
      <c r="G17" s="133"/>
      <c r="H17" s="133"/>
      <c r="I17" s="134" t="b">
        <f t="shared" si="1"/>
        <v>0</v>
      </c>
      <c r="J17" s="104"/>
      <c r="K17" s="133"/>
      <c r="L17" s="133"/>
      <c r="M17" s="134" t="b">
        <f t="shared" si="2"/>
        <v>0</v>
      </c>
      <c r="N17" s="104"/>
      <c r="O17" s="133"/>
      <c r="P17" s="133"/>
      <c r="Q17" s="134" t="b">
        <f t="shared" si="3"/>
        <v>0</v>
      </c>
      <c r="R17" s="104"/>
      <c r="S17" s="133"/>
      <c r="T17" s="133"/>
      <c r="U17" s="134" t="b">
        <f t="shared" si="4"/>
        <v>0</v>
      </c>
      <c r="V17" s="104"/>
      <c r="W17" s="133"/>
      <c r="X17" s="133"/>
      <c r="Y17" s="102" t="b">
        <f t="shared" si="5"/>
        <v>0</v>
      </c>
      <c r="Z17" s="100"/>
      <c r="AA17" s="100"/>
      <c r="AB17" s="100"/>
      <c r="AC17" s="100"/>
      <c r="AD17" s="100"/>
    </row>
    <row r="18" spans="1:30">
      <c r="A18" s="209"/>
      <c r="B18" s="45" t="s">
        <v>31</v>
      </c>
      <c r="C18" s="134" t="s">
        <v>97</v>
      </c>
      <c r="D18" s="16">
        <f t="shared" si="0"/>
        <v>0</v>
      </c>
      <c r="E18" s="131"/>
      <c r="F18" s="104"/>
      <c r="G18" s="133"/>
      <c r="H18" s="133"/>
      <c r="I18" s="134" t="b">
        <f t="shared" si="1"/>
        <v>0</v>
      </c>
      <c r="J18" s="104"/>
      <c r="K18" s="133"/>
      <c r="L18" s="133"/>
      <c r="M18" s="134" t="b">
        <f t="shared" si="2"/>
        <v>0</v>
      </c>
      <c r="N18" s="104"/>
      <c r="O18" s="133"/>
      <c r="P18" s="133"/>
      <c r="Q18" s="134" t="b">
        <f t="shared" si="3"/>
        <v>0</v>
      </c>
      <c r="R18" s="104"/>
      <c r="S18" s="133"/>
      <c r="T18" s="133"/>
      <c r="U18" s="134" t="b">
        <f t="shared" si="4"/>
        <v>0</v>
      </c>
      <c r="V18" s="104"/>
      <c r="W18" s="133"/>
      <c r="X18" s="133"/>
      <c r="Y18" s="102" t="b">
        <f t="shared" si="5"/>
        <v>0</v>
      </c>
      <c r="Z18" s="100"/>
      <c r="AA18" s="100"/>
      <c r="AB18" s="100"/>
      <c r="AC18" s="100"/>
      <c r="AD18" s="100"/>
    </row>
    <row r="19" spans="1:30">
      <c r="A19" s="209"/>
      <c r="B19" s="45" t="s">
        <v>32</v>
      </c>
      <c r="C19" s="134" t="s">
        <v>97</v>
      </c>
      <c r="D19" s="16">
        <f t="shared" si="0"/>
        <v>0</v>
      </c>
      <c r="E19" s="131"/>
      <c r="F19" s="104"/>
      <c r="G19" s="133"/>
      <c r="H19" s="133"/>
      <c r="I19" s="134" t="b">
        <f t="shared" si="1"/>
        <v>0</v>
      </c>
      <c r="J19" s="104"/>
      <c r="K19" s="133"/>
      <c r="L19" s="133"/>
      <c r="M19" s="134" t="b">
        <f t="shared" si="2"/>
        <v>0</v>
      </c>
      <c r="N19" s="104"/>
      <c r="O19" s="133"/>
      <c r="P19" s="133"/>
      <c r="Q19" s="134" t="b">
        <f t="shared" si="3"/>
        <v>0</v>
      </c>
      <c r="R19" s="104"/>
      <c r="S19" s="133"/>
      <c r="T19" s="133"/>
      <c r="U19" s="134" t="b">
        <f t="shared" si="4"/>
        <v>0</v>
      </c>
      <c r="V19" s="104"/>
      <c r="W19" s="133"/>
      <c r="X19" s="133"/>
      <c r="Y19" s="102" t="b">
        <f t="shared" si="5"/>
        <v>0</v>
      </c>
      <c r="Z19" s="100"/>
      <c r="AA19" s="100"/>
      <c r="AB19" s="100"/>
      <c r="AC19" s="100"/>
      <c r="AD19" s="100"/>
    </row>
    <row r="20" spans="1:30">
      <c r="A20" s="210" t="s">
        <v>33</v>
      </c>
      <c r="B20" s="44" t="s">
        <v>34</v>
      </c>
      <c r="C20" s="132" t="s">
        <v>97</v>
      </c>
      <c r="D20" s="15">
        <f t="shared" si="0"/>
        <v>0</v>
      </c>
      <c r="E20" s="130"/>
      <c r="F20" s="104"/>
      <c r="G20" s="132"/>
      <c r="H20" s="132"/>
      <c r="I20" s="132" t="b">
        <f t="shared" si="1"/>
        <v>0</v>
      </c>
      <c r="J20" s="104"/>
      <c r="K20" s="132"/>
      <c r="L20" s="132"/>
      <c r="M20" s="132" t="b">
        <f t="shared" si="2"/>
        <v>0</v>
      </c>
      <c r="N20" s="104"/>
      <c r="O20" s="132"/>
      <c r="P20" s="132"/>
      <c r="Q20" s="132" t="b">
        <f t="shared" si="3"/>
        <v>0</v>
      </c>
      <c r="R20" s="104"/>
      <c r="S20" s="132"/>
      <c r="T20" s="132"/>
      <c r="U20" s="132" t="b">
        <f t="shared" si="4"/>
        <v>0</v>
      </c>
      <c r="V20" s="104"/>
      <c r="W20" s="132"/>
      <c r="X20" s="132"/>
      <c r="Y20" s="101" t="b">
        <f t="shared" si="5"/>
        <v>0</v>
      </c>
      <c r="Z20" s="100"/>
      <c r="AA20" s="100"/>
      <c r="AB20" s="100"/>
      <c r="AC20" s="100"/>
      <c r="AD20" s="100"/>
    </row>
    <row r="21" spans="1:30">
      <c r="A21" s="210"/>
      <c r="B21" s="44" t="s">
        <v>35</v>
      </c>
      <c r="C21" s="132" t="s">
        <v>113</v>
      </c>
      <c r="D21" s="15">
        <f t="shared" si="0"/>
        <v>0</v>
      </c>
      <c r="E21" s="130"/>
      <c r="F21" s="104"/>
      <c r="G21" s="132"/>
      <c r="H21" s="132"/>
      <c r="I21" s="132" t="b">
        <f t="shared" si="1"/>
        <v>0</v>
      </c>
      <c r="J21" s="104"/>
      <c r="K21" s="132"/>
      <c r="L21" s="132"/>
      <c r="M21" s="132" t="b">
        <f t="shared" si="2"/>
        <v>0</v>
      </c>
      <c r="N21" s="104"/>
      <c r="O21" s="132"/>
      <c r="P21" s="132"/>
      <c r="Q21" s="132" t="b">
        <f t="shared" si="3"/>
        <v>0</v>
      </c>
      <c r="R21" s="104"/>
      <c r="S21" s="132"/>
      <c r="T21" s="132"/>
      <c r="U21" s="132" t="b">
        <f t="shared" si="4"/>
        <v>0</v>
      </c>
      <c r="V21" s="104"/>
      <c r="W21" s="132"/>
      <c r="X21" s="132"/>
      <c r="Y21" s="101" t="b">
        <f t="shared" si="5"/>
        <v>0</v>
      </c>
      <c r="Z21" s="100"/>
      <c r="AA21" s="100"/>
      <c r="AB21" s="100"/>
      <c r="AC21" s="100"/>
      <c r="AD21" s="100"/>
    </row>
    <row r="22" spans="1:30" ht="25.2">
      <c r="A22" s="210"/>
      <c r="B22" s="44" t="s">
        <v>36</v>
      </c>
      <c r="C22" s="132" t="s">
        <v>113</v>
      </c>
      <c r="D22" s="15">
        <f t="shared" si="0"/>
        <v>0</v>
      </c>
      <c r="E22" s="130"/>
      <c r="F22" s="104"/>
      <c r="G22" s="132"/>
      <c r="H22" s="132"/>
      <c r="I22" s="132" t="b">
        <f t="shared" si="1"/>
        <v>0</v>
      </c>
      <c r="J22" s="104"/>
      <c r="K22" s="132"/>
      <c r="L22" s="132"/>
      <c r="M22" s="132" t="b">
        <f t="shared" si="2"/>
        <v>0</v>
      </c>
      <c r="N22" s="104"/>
      <c r="O22" s="132"/>
      <c r="P22" s="132"/>
      <c r="Q22" s="132" t="b">
        <f t="shared" si="3"/>
        <v>0</v>
      </c>
      <c r="R22" s="104"/>
      <c r="S22" s="132"/>
      <c r="T22" s="132"/>
      <c r="U22" s="132" t="b">
        <f t="shared" si="4"/>
        <v>0</v>
      </c>
      <c r="V22" s="104"/>
      <c r="W22" s="132"/>
      <c r="X22" s="132"/>
      <c r="Y22" s="101" t="b">
        <f t="shared" si="5"/>
        <v>0</v>
      </c>
      <c r="Z22" s="100"/>
      <c r="AA22" s="100"/>
      <c r="AB22" s="100"/>
      <c r="AC22" s="100"/>
      <c r="AD22" s="100"/>
    </row>
    <row r="23" spans="1:30">
      <c r="A23" s="210"/>
      <c r="B23" s="44" t="s">
        <v>37</v>
      </c>
      <c r="C23" s="132" t="s">
        <v>97</v>
      </c>
      <c r="D23" s="15">
        <f t="shared" si="0"/>
        <v>0</v>
      </c>
      <c r="E23" s="130"/>
      <c r="F23" s="104"/>
      <c r="G23" s="132"/>
      <c r="H23" s="132"/>
      <c r="I23" s="132" t="b">
        <f t="shared" si="1"/>
        <v>0</v>
      </c>
      <c r="J23" s="104"/>
      <c r="K23" s="132"/>
      <c r="L23" s="132"/>
      <c r="M23" s="132" t="b">
        <f t="shared" si="2"/>
        <v>0</v>
      </c>
      <c r="N23" s="104"/>
      <c r="O23" s="132"/>
      <c r="P23" s="132"/>
      <c r="Q23" s="132" t="b">
        <f t="shared" si="3"/>
        <v>0</v>
      </c>
      <c r="R23" s="104"/>
      <c r="S23" s="132"/>
      <c r="T23" s="132"/>
      <c r="U23" s="132" t="b">
        <f t="shared" si="4"/>
        <v>0</v>
      </c>
      <c r="V23" s="104"/>
      <c r="W23" s="132"/>
      <c r="X23" s="132"/>
      <c r="Y23" s="101" t="b">
        <f t="shared" si="5"/>
        <v>0</v>
      </c>
      <c r="Z23" s="100"/>
      <c r="AA23" s="100"/>
      <c r="AB23" s="100"/>
      <c r="AC23" s="100"/>
      <c r="AD23" s="100"/>
    </row>
    <row r="24" spans="1:30">
      <c r="A24" s="210"/>
      <c r="B24" s="44" t="s">
        <v>38</v>
      </c>
      <c r="C24" s="132" t="s">
        <v>113</v>
      </c>
      <c r="D24" s="15">
        <f t="shared" si="0"/>
        <v>0</v>
      </c>
      <c r="E24" s="130"/>
      <c r="F24" s="104"/>
      <c r="G24" s="132"/>
      <c r="H24" s="132"/>
      <c r="I24" s="132" t="b">
        <f t="shared" si="1"/>
        <v>0</v>
      </c>
      <c r="J24" s="104"/>
      <c r="K24" s="132"/>
      <c r="L24" s="132"/>
      <c r="M24" s="132" t="b">
        <f t="shared" si="2"/>
        <v>0</v>
      </c>
      <c r="N24" s="104"/>
      <c r="O24" s="132"/>
      <c r="P24" s="132"/>
      <c r="Q24" s="132" t="b">
        <f t="shared" si="3"/>
        <v>0</v>
      </c>
      <c r="R24" s="104"/>
      <c r="S24" s="132"/>
      <c r="T24" s="132"/>
      <c r="U24" s="132" t="b">
        <f t="shared" si="4"/>
        <v>0</v>
      </c>
      <c r="V24" s="104"/>
      <c r="W24" s="132"/>
      <c r="X24" s="132"/>
      <c r="Y24" s="101" t="b">
        <f t="shared" si="5"/>
        <v>0</v>
      </c>
      <c r="Z24" s="100"/>
      <c r="AA24" s="100"/>
      <c r="AB24" s="100"/>
      <c r="AC24" s="100"/>
      <c r="AD24" s="100"/>
    </row>
    <row r="25" spans="1:30">
      <c r="A25" s="210"/>
      <c r="B25" s="44" t="s">
        <v>39</v>
      </c>
      <c r="C25" s="132" t="s">
        <v>97</v>
      </c>
      <c r="D25" s="15">
        <f t="shared" si="0"/>
        <v>0</v>
      </c>
      <c r="E25" s="130"/>
      <c r="F25" s="104"/>
      <c r="G25" s="132"/>
      <c r="H25" s="132"/>
      <c r="I25" s="132" t="b">
        <f t="shared" si="1"/>
        <v>0</v>
      </c>
      <c r="J25" s="104"/>
      <c r="K25" s="132"/>
      <c r="L25" s="132"/>
      <c r="M25" s="132" t="b">
        <f t="shared" si="2"/>
        <v>0</v>
      </c>
      <c r="N25" s="104"/>
      <c r="O25" s="132"/>
      <c r="P25" s="132"/>
      <c r="Q25" s="132" t="b">
        <f t="shared" si="3"/>
        <v>0</v>
      </c>
      <c r="R25" s="104"/>
      <c r="S25" s="132"/>
      <c r="T25" s="132"/>
      <c r="U25" s="132" t="b">
        <f t="shared" si="4"/>
        <v>0</v>
      </c>
      <c r="V25" s="104"/>
      <c r="W25" s="132"/>
      <c r="X25" s="132"/>
      <c r="Y25" s="101" t="b">
        <f t="shared" si="5"/>
        <v>0</v>
      </c>
      <c r="Z25" s="100"/>
      <c r="AA25" s="100"/>
      <c r="AB25" s="100"/>
      <c r="AC25" s="100"/>
      <c r="AD25" s="100"/>
    </row>
    <row r="26" spans="1:30">
      <c r="A26" s="210"/>
      <c r="B26" s="44" t="s">
        <v>40</v>
      </c>
      <c r="C26" s="132" t="s">
        <v>113</v>
      </c>
      <c r="D26" s="15">
        <f t="shared" si="0"/>
        <v>0</v>
      </c>
      <c r="E26" s="130"/>
      <c r="F26" s="104"/>
      <c r="G26" s="132"/>
      <c r="H26" s="132"/>
      <c r="I26" s="132" t="b">
        <f t="shared" si="1"/>
        <v>0</v>
      </c>
      <c r="J26" s="104"/>
      <c r="K26" s="132"/>
      <c r="L26" s="132"/>
      <c r="M26" s="132" t="b">
        <f t="shared" si="2"/>
        <v>0</v>
      </c>
      <c r="N26" s="104"/>
      <c r="O26" s="132"/>
      <c r="P26" s="132"/>
      <c r="Q26" s="132" t="b">
        <f t="shared" si="3"/>
        <v>0</v>
      </c>
      <c r="R26" s="104"/>
      <c r="S26" s="132"/>
      <c r="T26" s="132"/>
      <c r="U26" s="132" t="b">
        <f t="shared" si="4"/>
        <v>0</v>
      </c>
      <c r="V26" s="104"/>
      <c r="W26" s="132"/>
      <c r="X26" s="132"/>
      <c r="Y26" s="101" t="b">
        <f t="shared" si="5"/>
        <v>0</v>
      </c>
      <c r="Z26" s="100"/>
      <c r="AA26" s="100"/>
      <c r="AB26" s="100"/>
      <c r="AC26" s="100"/>
      <c r="AD26" s="100"/>
    </row>
    <row r="27" spans="1:30" ht="50.4">
      <c r="A27" s="16" t="s">
        <v>41</v>
      </c>
      <c r="B27" s="45" t="s">
        <v>42</v>
      </c>
      <c r="C27" s="134" t="s">
        <v>97</v>
      </c>
      <c r="D27" s="16">
        <f t="shared" si="0"/>
        <v>0</v>
      </c>
      <c r="E27" s="131"/>
      <c r="F27" s="104"/>
      <c r="G27" s="133"/>
      <c r="H27" s="133"/>
      <c r="I27" s="134" t="b">
        <f t="shared" si="1"/>
        <v>0</v>
      </c>
      <c r="J27" s="104"/>
      <c r="K27" s="133"/>
      <c r="L27" s="133"/>
      <c r="M27" s="134" t="b">
        <f t="shared" si="2"/>
        <v>0</v>
      </c>
      <c r="N27" s="104"/>
      <c r="O27" s="133"/>
      <c r="P27" s="133"/>
      <c r="Q27" s="134" t="b">
        <f t="shared" si="3"/>
        <v>0</v>
      </c>
      <c r="R27" s="104"/>
      <c r="S27" s="133"/>
      <c r="T27" s="133"/>
      <c r="U27" s="134" t="b">
        <f t="shared" si="4"/>
        <v>0</v>
      </c>
      <c r="V27" s="104"/>
      <c r="W27" s="133"/>
      <c r="X27" s="133"/>
      <c r="Y27" s="102" t="b">
        <f t="shared" si="5"/>
        <v>0</v>
      </c>
      <c r="Z27" s="100"/>
      <c r="AA27" s="100"/>
      <c r="AB27" s="100"/>
      <c r="AC27" s="100"/>
      <c r="AD27" s="100"/>
    </row>
    <row r="28" spans="1:30" ht="63">
      <c r="A28" s="46" t="s">
        <v>43</v>
      </c>
      <c r="B28" s="44" t="s">
        <v>44</v>
      </c>
      <c r="C28" s="132" t="s">
        <v>97</v>
      </c>
      <c r="D28" s="15">
        <f t="shared" si="0"/>
        <v>0</v>
      </c>
      <c r="E28" s="130"/>
      <c r="F28" s="104"/>
      <c r="G28" s="132"/>
      <c r="H28" s="132"/>
      <c r="I28" s="132" t="b">
        <f t="shared" si="1"/>
        <v>0</v>
      </c>
      <c r="J28" s="104"/>
      <c r="K28" s="132"/>
      <c r="L28" s="132"/>
      <c r="M28" s="132" t="b">
        <f t="shared" si="2"/>
        <v>0</v>
      </c>
      <c r="N28" s="104"/>
      <c r="O28" s="132"/>
      <c r="P28" s="132"/>
      <c r="Q28" s="132" t="b">
        <f t="shared" si="3"/>
        <v>0</v>
      </c>
      <c r="R28" s="104"/>
      <c r="S28" s="132"/>
      <c r="T28" s="132"/>
      <c r="U28" s="132" t="b">
        <f t="shared" si="4"/>
        <v>0</v>
      </c>
      <c r="V28" s="135"/>
      <c r="W28" s="130"/>
      <c r="X28" s="132"/>
      <c r="Y28" s="99" t="b">
        <f t="shared" si="5"/>
        <v>0</v>
      </c>
      <c r="Z28" s="103"/>
      <c r="AA28" s="100"/>
      <c r="AB28" s="100"/>
      <c r="AC28" s="100"/>
      <c r="AD28" s="100"/>
    </row>
    <row r="29" spans="1:30">
      <c r="A29" s="203" t="s">
        <v>206</v>
      </c>
      <c r="B29" s="139"/>
      <c r="C29" s="132" t="s">
        <v>97</v>
      </c>
      <c r="D29" s="40">
        <f t="shared" si="0"/>
        <v>0</v>
      </c>
      <c r="E29" s="139"/>
      <c r="F29" s="104"/>
      <c r="G29" s="130"/>
      <c r="H29" s="132"/>
      <c r="I29" s="132" t="b">
        <f t="shared" si="1"/>
        <v>0</v>
      </c>
      <c r="J29" s="135"/>
      <c r="K29" s="130"/>
      <c r="L29" s="132"/>
      <c r="M29" s="132" t="b">
        <f t="shared" si="2"/>
        <v>0</v>
      </c>
      <c r="N29" s="136"/>
      <c r="O29" s="130"/>
      <c r="P29" s="132"/>
      <c r="Q29" s="132" t="b">
        <f t="shared" si="3"/>
        <v>0</v>
      </c>
      <c r="R29" s="104"/>
      <c r="S29" s="130"/>
      <c r="T29" s="132"/>
      <c r="U29" s="132" t="b">
        <f t="shared" si="4"/>
        <v>0</v>
      </c>
      <c r="V29" s="135"/>
      <c r="W29" s="130"/>
      <c r="X29" s="132"/>
      <c r="Y29" s="99" t="b">
        <f t="shared" si="5"/>
        <v>0</v>
      </c>
      <c r="Z29" s="103"/>
      <c r="AA29" s="100"/>
      <c r="AB29" s="100"/>
      <c r="AC29" s="100"/>
      <c r="AD29" s="100"/>
    </row>
    <row r="30" spans="1:30">
      <c r="A30" s="204"/>
      <c r="B30" s="139"/>
      <c r="C30" s="132" t="s">
        <v>97</v>
      </c>
      <c r="D30" s="40">
        <f t="shared" si="0"/>
        <v>0</v>
      </c>
      <c r="E30" s="139"/>
      <c r="F30" s="104"/>
      <c r="G30" s="130"/>
      <c r="H30" s="132"/>
      <c r="I30" s="132" t="b">
        <f t="shared" si="1"/>
        <v>0</v>
      </c>
      <c r="J30" s="135"/>
      <c r="K30" s="130"/>
      <c r="L30" s="132"/>
      <c r="M30" s="132" t="b">
        <f t="shared" si="2"/>
        <v>0</v>
      </c>
      <c r="N30" s="136"/>
      <c r="O30" s="130"/>
      <c r="P30" s="132"/>
      <c r="Q30" s="132" t="b">
        <f t="shared" si="3"/>
        <v>0</v>
      </c>
      <c r="R30" s="104"/>
      <c r="S30" s="130"/>
      <c r="T30" s="132"/>
      <c r="U30" s="132" t="b">
        <f t="shared" si="4"/>
        <v>0</v>
      </c>
      <c r="V30" s="135"/>
      <c r="W30" s="130"/>
      <c r="X30" s="132"/>
      <c r="Y30" s="99" t="b">
        <f t="shared" si="5"/>
        <v>0</v>
      </c>
      <c r="Z30" s="103"/>
      <c r="AA30" s="100"/>
      <c r="AB30" s="100"/>
      <c r="AC30" s="100"/>
      <c r="AD30" s="100"/>
    </row>
    <row r="31" spans="1:30">
      <c r="A31" s="205"/>
      <c r="B31" s="139"/>
      <c r="C31" s="132" t="s">
        <v>97</v>
      </c>
      <c r="D31" s="40">
        <f t="shared" si="0"/>
        <v>0</v>
      </c>
      <c r="E31" s="139"/>
      <c r="F31" s="104"/>
      <c r="G31" s="130"/>
      <c r="H31" s="132"/>
      <c r="I31" s="132" t="b">
        <f t="shared" si="1"/>
        <v>0</v>
      </c>
      <c r="J31" s="135"/>
      <c r="K31" s="130"/>
      <c r="L31" s="132"/>
      <c r="M31" s="132" t="b">
        <f t="shared" si="2"/>
        <v>0</v>
      </c>
      <c r="N31" s="136"/>
      <c r="O31" s="130"/>
      <c r="P31" s="132"/>
      <c r="Q31" s="132" t="b">
        <f t="shared" si="3"/>
        <v>0</v>
      </c>
      <c r="R31" s="104"/>
      <c r="S31" s="130"/>
      <c r="T31" s="132"/>
      <c r="U31" s="132" t="b">
        <f t="shared" si="4"/>
        <v>0</v>
      </c>
      <c r="V31" s="135"/>
      <c r="W31" s="130"/>
      <c r="X31" s="132"/>
      <c r="Y31" s="99" t="b">
        <f t="shared" si="5"/>
        <v>0</v>
      </c>
      <c r="Z31" s="103"/>
      <c r="AA31" s="100"/>
      <c r="AB31" s="100"/>
      <c r="AC31" s="100"/>
      <c r="AD31" s="100"/>
    </row>
    <row r="32" spans="1:30">
      <c r="A32" s="200" t="s">
        <v>45</v>
      </c>
      <c r="B32" s="213"/>
      <c r="C32" s="211">
        <f>SUM(D13:D31)*3</f>
        <v>0</v>
      </c>
      <c r="D32" s="62"/>
      <c r="E32" s="198"/>
      <c r="G32" s="200" t="s">
        <v>96</v>
      </c>
      <c r="H32" s="191">
        <f>SUMPRODUCT($D$13:$D$31,I13:I31)</f>
        <v>0</v>
      </c>
      <c r="I32" s="191"/>
      <c r="J32" s="48"/>
      <c r="K32" s="190" t="s">
        <v>46</v>
      </c>
      <c r="L32" s="191">
        <f>SUMPRODUCT($D$13:$D$31,M13:M31)</f>
        <v>0</v>
      </c>
      <c r="M32" s="188"/>
      <c r="N32" s="65"/>
      <c r="O32" s="190" t="s">
        <v>46</v>
      </c>
      <c r="P32" s="191">
        <f>SUMPRODUCT($D$13:$D$31,Q13:Q31)</f>
        <v>0</v>
      </c>
      <c r="Q32" s="188"/>
      <c r="S32" s="190" t="s">
        <v>46</v>
      </c>
      <c r="T32" s="191">
        <f>SUMPRODUCT($D$13:$D$31,U13:U31)</f>
        <v>0</v>
      </c>
      <c r="U32" s="188"/>
      <c r="V32" s="48"/>
      <c r="W32" s="190" t="s">
        <v>46</v>
      </c>
      <c r="X32" s="191">
        <f>SUMPRODUCT($D$13:$D$31,Y13:Y31)</f>
        <v>0</v>
      </c>
      <c r="Y32" s="196"/>
      <c r="Z32" s="34"/>
    </row>
    <row r="33" spans="1:26">
      <c r="A33" s="214"/>
      <c r="B33" s="215"/>
      <c r="C33" s="212"/>
      <c r="D33" s="63"/>
      <c r="E33" s="199"/>
      <c r="G33" s="201"/>
      <c r="H33" s="202"/>
      <c r="I33" s="202"/>
      <c r="J33" s="48"/>
      <c r="K33" s="200"/>
      <c r="L33" s="192"/>
      <c r="M33" s="206"/>
      <c r="N33" s="65"/>
      <c r="O33" s="190"/>
      <c r="P33" s="192"/>
      <c r="Q33" s="189"/>
      <c r="S33" s="190"/>
      <c r="T33" s="192"/>
      <c r="U33" s="189"/>
      <c r="V33" s="48"/>
      <c r="W33" s="190"/>
      <c r="X33" s="192"/>
      <c r="Y33" s="197"/>
      <c r="Z33" s="34"/>
    </row>
    <row r="34" spans="1:26">
      <c r="A34" s="51"/>
      <c r="B34" s="52"/>
      <c r="C34" s="52"/>
      <c r="D34" s="52"/>
      <c r="E34" s="67"/>
      <c r="F34" s="34"/>
      <c r="G34" s="49" t="s">
        <v>134</v>
      </c>
      <c r="H34" s="53" t="str">
        <f>IFERROR(IF(H32=0,"",H32/$C$32),"")</f>
        <v/>
      </c>
      <c r="I34" s="55"/>
      <c r="J34" s="48"/>
      <c r="K34" s="49" t="s">
        <v>134</v>
      </c>
      <c r="L34" s="53" t="str">
        <f>IFERROR(IF(L32=0,"",L32/$C$32),"")</f>
        <v/>
      </c>
      <c r="M34" s="70"/>
      <c r="N34" s="48"/>
      <c r="O34" s="49" t="s">
        <v>134</v>
      </c>
      <c r="P34" s="69" t="str">
        <f>IFERROR(IF(P32=0,"",P32/$C$32),"")</f>
        <v/>
      </c>
      <c r="Q34" s="50"/>
      <c r="S34" s="49" t="s">
        <v>134</v>
      </c>
      <c r="T34" s="53" t="str">
        <f>IFERROR(IF(T32=0,"",T32/$C$32),"")</f>
        <v/>
      </c>
      <c r="U34" s="50"/>
      <c r="V34" s="48"/>
      <c r="W34" s="49" t="s">
        <v>134</v>
      </c>
      <c r="X34" s="53" t="str">
        <f>IFERROR(IF(X32=0,"",X32/$C$32),"")</f>
        <v/>
      </c>
      <c r="Y34" s="50"/>
      <c r="Z34" s="57"/>
    </row>
    <row r="35" spans="1:26">
      <c r="A35" s="207"/>
      <c r="B35" s="208"/>
      <c r="C35" s="208"/>
      <c r="D35" s="208"/>
      <c r="E35" s="68"/>
      <c r="F35" s="34"/>
      <c r="G35" s="193" t="str">
        <f>IF(H34&lt;=0.3,'Reference Table'!$G$4,IF(H34&lt;0.7,'Reference Table'!$G$5,IF(H34&lt;=1,'Reference Table'!$G$6,"")))</f>
        <v/>
      </c>
      <c r="H35" s="194"/>
      <c r="I35" s="195"/>
      <c r="J35" s="48"/>
      <c r="K35" s="184" t="str">
        <f>IF(L34&lt;=0.3,'Reference Table'!$G$4,IF(L34&lt;0.7,'Reference Table'!$G$5,IF(L34&lt;=1,'Reference Table'!$G$6,"")))</f>
        <v/>
      </c>
      <c r="L35" s="185"/>
      <c r="M35" s="186"/>
      <c r="N35" s="48"/>
      <c r="O35" s="193" t="str">
        <f>IF(P34&lt;=0.3,'Reference Table'!$G$4,IF(P34&lt;0.7,'Reference Table'!$G$5,IF(P34&lt;=1,'Reference Table'!$G$6,"")))</f>
        <v/>
      </c>
      <c r="P35" s="194"/>
      <c r="Q35" s="195"/>
      <c r="R35" s="48"/>
      <c r="S35" s="193" t="str">
        <f>IF(T34&lt;=0.3,'Reference Table'!$G$4,IF(T34&lt;0.7,'Reference Table'!$G$5,IF(T34&lt;=1,'Reference Table'!$G$6,"")))</f>
        <v/>
      </c>
      <c r="T35" s="194"/>
      <c r="U35" s="195"/>
      <c r="V35" s="48"/>
      <c r="W35" s="193" t="str">
        <f>IF(X34&lt;=0.3,'Reference Table'!$G$4,IF(X34&lt;0.7,'Reference Table'!$G$5,IF(X34&lt;=1,'Reference Table'!$G$6,"")))</f>
        <v/>
      </c>
      <c r="X35" s="194"/>
      <c r="Y35" s="195"/>
      <c r="Z35" s="57"/>
    </row>
    <row r="36" spans="1:26">
      <c r="A36" s="172" t="s">
        <v>114</v>
      </c>
      <c r="B36" s="172"/>
      <c r="C36" s="172"/>
      <c r="D36" s="172"/>
      <c r="E36" s="172"/>
      <c r="F36" s="34"/>
      <c r="G36" s="66"/>
      <c r="H36" s="66"/>
      <c r="I36" s="66"/>
      <c r="J36" s="34"/>
      <c r="K36" s="183"/>
      <c r="L36" s="183"/>
      <c r="M36" s="183"/>
      <c r="N36" s="34"/>
      <c r="O36" s="183"/>
      <c r="P36" s="183"/>
      <c r="Q36" s="183"/>
      <c r="R36" s="34"/>
      <c r="S36" s="183"/>
      <c r="T36" s="183"/>
      <c r="U36" s="183"/>
      <c r="V36" s="34"/>
      <c r="W36" s="183"/>
      <c r="X36" s="183"/>
      <c r="Y36" s="183"/>
      <c r="Z36" s="34"/>
    </row>
  </sheetData>
  <sheetProtection algorithmName="SHA-512" hashValue="493b42EnkSZW8cjU8HVtori87iDto5QhT76+qwNc38A1mGOKNZKImOxpKvOb9HRjju8X71yf8Tcws94JX6S5+A==" saltValue="v7/v84n2085HGkUrDWBCsw==" spinCount="100000" sheet="1" objects="1" scenarios="1"/>
  <protectedRanges>
    <protectedRange sqref="C13:H21" name="Range1"/>
  </protectedRanges>
  <mergeCells count="48">
    <mergeCell ref="K36:M36"/>
    <mergeCell ref="O32:O33"/>
    <mergeCell ref="A35:D35"/>
    <mergeCell ref="A14:A19"/>
    <mergeCell ref="A20:A26"/>
    <mergeCell ref="C32:C33"/>
    <mergeCell ref="A32:B33"/>
    <mergeCell ref="P32:P33"/>
    <mergeCell ref="O35:Q35"/>
    <mergeCell ref="A11:E11"/>
    <mergeCell ref="E32:E33"/>
    <mergeCell ref="G32:G33"/>
    <mergeCell ref="I32:I33"/>
    <mergeCell ref="K11:M11"/>
    <mergeCell ref="H32:H33"/>
    <mergeCell ref="L32:L33"/>
    <mergeCell ref="A29:A31"/>
    <mergeCell ref="G11:I11"/>
    <mergeCell ref="G35:I35"/>
    <mergeCell ref="K32:K33"/>
    <mergeCell ref="M32:M33"/>
    <mergeCell ref="W36:Y36"/>
    <mergeCell ref="K35:M35"/>
    <mergeCell ref="O11:Q11"/>
    <mergeCell ref="Q32:Q33"/>
    <mergeCell ref="O36:Q36"/>
    <mergeCell ref="S11:U11"/>
    <mergeCell ref="S32:S33"/>
    <mergeCell ref="T32:T33"/>
    <mergeCell ref="U32:U33"/>
    <mergeCell ref="S35:U35"/>
    <mergeCell ref="S36:U36"/>
    <mergeCell ref="W11:Y11"/>
    <mergeCell ref="W32:W33"/>
    <mergeCell ref="X32:X33"/>
    <mergeCell ref="Y32:Y33"/>
    <mergeCell ref="W35:Y35"/>
    <mergeCell ref="A1:E1"/>
    <mergeCell ref="A2:E2"/>
    <mergeCell ref="A36:E36"/>
    <mergeCell ref="A3:E3"/>
    <mergeCell ref="A4:E4"/>
    <mergeCell ref="A5:E5"/>
    <mergeCell ref="A6:E6"/>
    <mergeCell ref="A7:E7"/>
    <mergeCell ref="A8:E8"/>
    <mergeCell ref="A9:E9"/>
    <mergeCell ref="A10:B10"/>
  </mergeCells>
  <phoneticPr fontId="2" type="noConversion"/>
  <conditionalFormatting sqref="B13:X19">
    <cfRule type="expression" dxfId="4" priority="5">
      <formula>OR(CELL("row")=ROW())</formula>
    </cfRule>
  </conditionalFormatting>
  <conditionalFormatting sqref="B13:X31">
    <cfRule type="expression" dxfId="3" priority="4">
      <formula>OR(CELL("row")=ROW())</formula>
    </cfRule>
  </conditionalFormatting>
  <conditionalFormatting sqref="W35:Y35 S35 O35 K35 G35">
    <cfRule type="containsText" dxfId="2" priority="1" operator="containsText" text="Low">
      <formula>NOT(ISERROR(SEARCH("Low",G35)))</formula>
    </cfRule>
    <cfRule type="containsText" dxfId="1" priority="2" operator="containsText" text="Moderate">
      <formula>NOT(ISERROR(SEARCH("Moderate",G35)))</formula>
    </cfRule>
    <cfRule type="containsText" dxfId="0" priority="3" operator="containsText" text="High">
      <formula>NOT(ISERROR(SEARCH("High",G35)))</formula>
    </cfRule>
  </conditionalFormatting>
  <hyperlinks>
    <hyperlink ref="A10:B10" r:id="rId1" display="For a detailed explanation of the calculations used in the RI, click here." xr:uid="{5E58D794-C454-4C4A-BAA5-0B231DAF922F}"/>
  </hyperlinks>
  <pageMargins left="0.7" right="0.7" top="0.75" bottom="0.75" header="0.3" footer="0.3"/>
  <pageSetup paperSize="9" orientation="landscape" horizontalDpi="0"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6843F44-5E52-4EC7-86D5-BC0DBEF146B6}">
          <x14:formula1>
            <xm:f>'Reference Table'!$A$2:$D$2</xm:f>
          </x14:formula1>
          <xm:sqref>C13:C31 H13:H31 L13:L31 P13:P31 T13:T31 X13:X31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D1001-D291-48BE-8DEE-179F5B0303D6}">
  <sheetPr codeName="Sheet6"/>
  <dimension ref="A1:D72"/>
  <sheetViews>
    <sheetView topLeftCell="B59" zoomScale="120" zoomScaleNormal="120" workbookViewId="0">
      <selection activeCell="B64" sqref="B64"/>
    </sheetView>
  </sheetViews>
  <sheetFormatPr defaultRowHeight="14.4" outlineLevelRow="1"/>
  <cols>
    <col min="1" max="1" width="19.15625" customWidth="1"/>
    <col min="2" max="2" width="77.41796875" customWidth="1"/>
    <col min="3" max="3" width="8.68359375" style="2" hidden="1" customWidth="1"/>
    <col min="4" max="4" width="10.68359375" style="2" hidden="1" customWidth="1"/>
    <col min="5" max="5" width="7.89453125" customWidth="1"/>
  </cols>
  <sheetData>
    <row r="1" spans="1:4" ht="14.7" thickBot="1">
      <c r="A1" s="221" t="s">
        <v>158</v>
      </c>
      <c r="B1" s="221"/>
    </row>
    <row r="2" spans="1:4" outlineLevel="1">
      <c r="A2" s="168" t="s">
        <v>156</v>
      </c>
      <c r="B2" s="170"/>
    </row>
    <row r="3" spans="1:4" outlineLevel="1">
      <c r="A3" s="162" t="s">
        <v>167</v>
      </c>
      <c r="B3" s="164"/>
    </row>
    <row r="4" spans="1:4" ht="14.7" outlineLevel="1" thickBot="1">
      <c r="A4" s="222" t="s">
        <v>157</v>
      </c>
      <c r="B4" s="223"/>
    </row>
    <row r="5" spans="1:4" ht="14.7" thickBot="1"/>
    <row r="6" spans="1:4" hidden="1"/>
    <row r="7" spans="1:4" hidden="1"/>
    <row r="8" spans="1:4" hidden="1"/>
    <row r="9" spans="1:4" ht="14.7" hidden="1" thickBot="1"/>
    <row r="10" spans="1:4" ht="14.7" thickBot="1">
      <c r="A10" s="89" t="s">
        <v>135</v>
      </c>
      <c r="B10" s="90" t="s">
        <v>136</v>
      </c>
    </row>
    <row r="11" spans="1:4" ht="14.7" thickBot="1">
      <c r="A11" s="216" t="s">
        <v>143</v>
      </c>
      <c r="B11" s="217"/>
      <c r="C11" s="2">
        <v>1</v>
      </c>
      <c r="D11" s="2">
        <f>C11-2</f>
        <v>-1</v>
      </c>
    </row>
    <row r="12" spans="1:4" ht="14.7" thickBot="1">
      <c r="A12" s="218"/>
      <c r="B12" s="91"/>
    </row>
    <row r="13" spans="1:4" ht="14.7" thickBot="1">
      <c r="A13" s="219"/>
      <c r="B13" s="91"/>
    </row>
    <row r="14" spans="1:4" ht="14.7" thickBot="1">
      <c r="A14" s="219"/>
      <c r="B14" s="91"/>
    </row>
    <row r="15" spans="1:4" ht="14.7" thickBot="1">
      <c r="A15" s="220"/>
      <c r="B15" s="91"/>
    </row>
    <row r="16" spans="1:4" ht="14.7" thickBot="1">
      <c r="A16" s="216" t="s">
        <v>144</v>
      </c>
      <c r="B16" s="217"/>
      <c r="C16" s="2">
        <v>0</v>
      </c>
      <c r="D16" s="2">
        <f>C16-2</f>
        <v>-2</v>
      </c>
    </row>
    <row r="17" spans="1:4" ht="14.7" thickBot="1">
      <c r="A17" s="224"/>
      <c r="B17" s="92"/>
    </row>
    <row r="18" spans="1:4" ht="14.7" thickBot="1">
      <c r="A18" s="225"/>
      <c r="B18" s="92"/>
    </row>
    <row r="19" spans="1:4" ht="38.5" customHeight="1" thickBot="1">
      <c r="A19" s="225"/>
      <c r="B19" s="92"/>
    </row>
    <row r="20" spans="1:4" ht="14.7" thickBot="1">
      <c r="A20" s="226"/>
      <c r="B20" s="92"/>
    </row>
    <row r="21" spans="1:4" ht="17.5" customHeight="1" thickBot="1">
      <c r="A21" s="216" t="s">
        <v>145</v>
      </c>
      <c r="B21" s="217"/>
      <c r="C21" s="2">
        <v>0</v>
      </c>
      <c r="D21" s="2">
        <f>C21-2</f>
        <v>-2</v>
      </c>
    </row>
    <row r="22" spans="1:4" ht="14.7" thickBot="1">
      <c r="A22" s="218"/>
      <c r="B22" s="91"/>
    </row>
    <row r="23" spans="1:4" ht="14.7" thickBot="1">
      <c r="A23" s="219"/>
      <c r="B23" s="91"/>
    </row>
    <row r="24" spans="1:4" ht="14.7" thickBot="1">
      <c r="A24" s="219"/>
      <c r="B24" s="91"/>
    </row>
    <row r="25" spans="1:4" ht="14.7" thickBot="1">
      <c r="A25" s="220"/>
      <c r="B25" s="91"/>
    </row>
    <row r="26" spans="1:4" ht="30.55" customHeight="1" thickBot="1">
      <c r="A26" s="216" t="s">
        <v>146</v>
      </c>
      <c r="B26" s="217"/>
      <c r="C26" s="2">
        <v>0</v>
      </c>
      <c r="D26" s="2">
        <f>IF(C26=1,-1,IF(C26=2,1,2))</f>
        <v>2</v>
      </c>
    </row>
    <row r="27" spans="1:4" ht="14.7" thickBot="1">
      <c r="A27" s="224"/>
      <c r="B27" s="93"/>
    </row>
    <row r="28" spans="1:4" ht="14.7" thickBot="1">
      <c r="A28" s="225"/>
      <c r="B28" s="93"/>
    </row>
    <row r="29" spans="1:4" ht="14.7" thickBot="1">
      <c r="A29" s="226"/>
      <c r="B29" s="93"/>
    </row>
    <row r="30" spans="1:4" ht="42" customHeight="1" thickBot="1">
      <c r="A30" s="216" t="s">
        <v>147</v>
      </c>
      <c r="B30" s="217"/>
      <c r="C30" s="2">
        <v>0</v>
      </c>
      <c r="D30" s="2">
        <f>IF(C30=1,-1,IF(C30=2,1,2))</f>
        <v>2</v>
      </c>
    </row>
    <row r="31" spans="1:4" ht="14.7" thickBot="1">
      <c r="A31" s="218"/>
      <c r="B31" s="94"/>
    </row>
    <row r="32" spans="1:4" ht="14.7" thickBot="1">
      <c r="A32" s="219"/>
      <c r="B32" s="94"/>
    </row>
    <row r="33" spans="1:4" ht="14.7" thickBot="1">
      <c r="A33" s="220"/>
      <c r="B33" s="94"/>
    </row>
    <row r="34" spans="1:4" ht="14.7" thickBot="1">
      <c r="A34" s="216" t="s">
        <v>148</v>
      </c>
      <c r="B34" s="217"/>
      <c r="C34" s="2">
        <v>0</v>
      </c>
      <c r="D34" s="2">
        <f>C34-2</f>
        <v>-2</v>
      </c>
    </row>
    <row r="35" spans="1:4" ht="30" customHeight="1" thickBot="1">
      <c r="A35" s="224"/>
      <c r="B35" s="93"/>
    </row>
    <row r="36" spans="1:4" ht="42.55" customHeight="1" thickBot="1">
      <c r="A36" s="225"/>
      <c r="B36" s="92"/>
    </row>
    <row r="37" spans="1:4" ht="37.5" customHeight="1" thickBot="1">
      <c r="A37" s="225"/>
      <c r="B37" s="92"/>
    </row>
    <row r="38" spans="1:4" ht="30.55" customHeight="1" thickBot="1">
      <c r="A38" s="225"/>
      <c r="B38" s="92"/>
    </row>
    <row r="39" spans="1:4" ht="32.5" customHeight="1" thickBot="1">
      <c r="A39" s="226"/>
      <c r="B39" s="92"/>
    </row>
    <row r="40" spans="1:4" ht="27.55" customHeight="1" thickBot="1">
      <c r="A40" s="216" t="s">
        <v>142</v>
      </c>
      <c r="B40" s="217"/>
      <c r="C40" s="2">
        <v>0</v>
      </c>
      <c r="D40" s="2">
        <f>IF(C40=1,-1,IF(C40=2,1,2))</f>
        <v>2</v>
      </c>
    </row>
    <row r="41" spans="1:4" ht="14.7" thickBot="1">
      <c r="A41" s="224"/>
      <c r="B41" s="93"/>
    </row>
    <row r="42" spans="1:4" ht="14.7" thickBot="1">
      <c r="A42" s="225"/>
      <c r="B42" s="93"/>
    </row>
    <row r="43" spans="1:4" ht="14.7" thickBot="1">
      <c r="A43" s="226"/>
      <c r="B43" s="93"/>
    </row>
    <row r="44" spans="1:4" ht="28" customHeight="1" thickBot="1">
      <c r="A44" s="216" t="s">
        <v>149</v>
      </c>
      <c r="B44" s="217"/>
      <c r="C44" s="2">
        <v>0</v>
      </c>
      <c r="D44" s="2">
        <f>C44-2</f>
        <v>-2</v>
      </c>
    </row>
    <row r="45" spans="1:4" ht="14.7" thickBot="1">
      <c r="A45" s="218"/>
      <c r="B45" s="91"/>
    </row>
    <row r="46" spans="1:4" ht="14.7" thickBot="1">
      <c r="A46" s="219"/>
      <c r="B46" s="91"/>
    </row>
    <row r="47" spans="1:4" ht="14.7" thickBot="1">
      <c r="A47" s="219"/>
      <c r="B47" s="91"/>
    </row>
    <row r="48" spans="1:4" ht="14.7" thickBot="1">
      <c r="A48" s="220"/>
      <c r="B48" s="91"/>
    </row>
    <row r="49" spans="1:4" ht="14.5" customHeight="1" thickBot="1">
      <c r="A49" s="216" t="s">
        <v>150</v>
      </c>
      <c r="B49" s="229"/>
      <c r="C49" s="3">
        <v>0</v>
      </c>
      <c r="D49" s="2">
        <f>IF(C49=1,-1,IF(C49=2,-1,1))</f>
        <v>1</v>
      </c>
    </row>
    <row r="50" spans="1:4" ht="15.6" thickBot="1">
      <c r="A50" s="224"/>
      <c r="B50" s="92"/>
      <c r="C50" s="95"/>
    </row>
    <row r="51" spans="1:4" ht="15.6" thickBot="1">
      <c r="A51" s="225"/>
      <c r="B51" s="92"/>
      <c r="C51" s="95"/>
    </row>
    <row r="52" spans="1:4" ht="15.6" thickBot="1">
      <c r="A52" s="226"/>
      <c r="B52" s="92"/>
      <c r="C52" s="95"/>
    </row>
    <row r="53" spans="1:4" ht="27.55" customHeight="1" thickBot="1">
      <c r="A53" s="216" t="s">
        <v>151</v>
      </c>
      <c r="B53" s="229"/>
      <c r="C53" s="95"/>
    </row>
    <row r="54" spans="1:4" ht="14.7" thickBot="1">
      <c r="A54" s="232"/>
      <c r="B54" s="96" t="s">
        <v>137</v>
      </c>
      <c r="C54" s="3">
        <v>0</v>
      </c>
      <c r="D54" s="2">
        <f>C54-2</f>
        <v>-2</v>
      </c>
    </row>
    <row r="55" spans="1:4" ht="15.6" thickBot="1">
      <c r="A55" s="233"/>
      <c r="B55" s="92"/>
      <c r="C55" s="95"/>
    </row>
    <row r="56" spans="1:4" ht="15.6" thickBot="1">
      <c r="A56" s="234"/>
      <c r="B56" s="92"/>
      <c r="C56" s="95"/>
    </row>
    <row r="57" spans="1:4" ht="14.7" thickBot="1">
      <c r="A57" s="232"/>
      <c r="B57" s="96" t="s">
        <v>138</v>
      </c>
      <c r="C57" s="3">
        <v>2</v>
      </c>
      <c r="D57" s="2">
        <f>IF(C57=1,0,IF(C57=2,1,IF(C57=3,3,IF(C57=4,5,IF(C57=5,6)))))</f>
        <v>1</v>
      </c>
    </row>
    <row r="58" spans="1:4" ht="37" customHeight="1" thickBot="1">
      <c r="A58" s="233"/>
      <c r="B58" s="111"/>
      <c r="C58" s="95"/>
    </row>
    <row r="59" spans="1:4" ht="68.5" customHeight="1" thickBot="1">
      <c r="A59" s="233"/>
      <c r="B59" s="92"/>
      <c r="C59" s="95"/>
    </row>
    <row r="60" spans="1:4" ht="56.5" customHeight="1" thickBot="1">
      <c r="A60" s="233"/>
      <c r="B60" s="92"/>
      <c r="C60" s="95"/>
    </row>
    <row r="61" spans="1:4" ht="33.549999999999997" customHeight="1" thickBot="1">
      <c r="A61" s="233"/>
      <c r="B61" s="92"/>
      <c r="C61" s="95"/>
    </row>
    <row r="62" spans="1:4" ht="33.549999999999997" customHeight="1" thickBot="1">
      <c r="A62" s="234"/>
      <c r="B62" s="97"/>
      <c r="C62" s="95"/>
    </row>
    <row r="63" spans="1:4" ht="42.55" customHeight="1" thickBot="1">
      <c r="A63" s="227" t="s">
        <v>152</v>
      </c>
      <c r="B63" s="228"/>
      <c r="C63" s="95">
        <v>2</v>
      </c>
      <c r="D63" s="2">
        <f>C63-1</f>
        <v>1</v>
      </c>
    </row>
    <row r="64" spans="1:4" ht="18.55" customHeight="1" thickBot="1">
      <c r="A64" s="230"/>
      <c r="B64" s="98"/>
      <c r="C64" s="95"/>
    </row>
    <row r="65" spans="1:4" ht="15.6" thickBot="1">
      <c r="A65" s="231"/>
      <c r="B65" s="98"/>
      <c r="C65" s="95"/>
    </row>
    <row r="66" spans="1:4" ht="14.5" customHeight="1" thickBot="1">
      <c r="A66" s="227" t="s">
        <v>153</v>
      </c>
      <c r="B66" s="228"/>
      <c r="C66" s="95">
        <v>0</v>
      </c>
      <c r="D66" s="2">
        <f>C66-1</f>
        <v>-1</v>
      </c>
    </row>
    <row r="67" spans="1:4" ht="15" customHeight="1" thickBot="1">
      <c r="A67" s="224"/>
      <c r="B67" s="92"/>
      <c r="C67" s="95"/>
    </row>
    <row r="68" spans="1:4" ht="28" customHeight="1" thickBot="1">
      <c r="A68" s="225"/>
      <c r="B68" s="92"/>
      <c r="C68" s="95"/>
      <c r="D68" s="2" t="str">
        <f>IF(D71&lt;=0.2,"Low Credibility",IF(D71&lt;=0.6,"Moderate Credibility",IF(D71&lt;=1,"High Credibility",IF(D71="",""))))</f>
        <v/>
      </c>
    </row>
    <row r="69" spans="1:4" ht="28.5" customHeight="1" thickBot="1">
      <c r="A69" s="226"/>
      <c r="B69" s="92"/>
      <c r="C69" s="95"/>
    </row>
    <row r="70" spans="1:4">
      <c r="A70" s="2" t="s">
        <v>166</v>
      </c>
      <c r="B70" s="109" t="str">
        <f>IF(COUNTIF(C11:C69,"&gt;0")&lt;13,"",SUM(D11:D69))</f>
        <v/>
      </c>
      <c r="C70" s="108" t="s">
        <v>139</v>
      </c>
      <c r="D70" s="109" t="str">
        <f>IF(COUNTIF(C11:C69,"&gt;0")&lt;13,"",SUM(D11:D69))</f>
        <v/>
      </c>
    </row>
    <row r="71" spans="1:4">
      <c r="A71" s="2" t="s">
        <v>168</v>
      </c>
      <c r="B71" s="112">
        <v>27</v>
      </c>
      <c r="C71" s="108" t="s">
        <v>140</v>
      </c>
      <c r="D71" s="110" t="str">
        <f>IF(D70&lt;10,'Reference Table'!Q4,IF(D70&lt;20,'Reference Table'!Q5,IF(D70="","",'Reference Table'!Q6)))</f>
        <v/>
      </c>
    </row>
    <row r="72" spans="1:4">
      <c r="C72" s="108" t="s">
        <v>141</v>
      </c>
      <c r="D72" s="1" t="str">
        <f>IF(D71&lt;=0.2,"Low Credibility",IF(D71&lt;=0.6,"Moderate Credibility",IF(D71&lt;=1,"High Credibility",IF(D71="",""))))</f>
        <v/>
      </c>
    </row>
  </sheetData>
  <mergeCells count="29">
    <mergeCell ref="A63:B63"/>
    <mergeCell ref="A66:B66"/>
    <mergeCell ref="A67:A69"/>
    <mergeCell ref="A35:A39"/>
    <mergeCell ref="A41:A43"/>
    <mergeCell ref="A45:A48"/>
    <mergeCell ref="A49:B49"/>
    <mergeCell ref="A50:A52"/>
    <mergeCell ref="A53:B53"/>
    <mergeCell ref="A40:B40"/>
    <mergeCell ref="A64:A65"/>
    <mergeCell ref="A44:B44"/>
    <mergeCell ref="A54:A56"/>
    <mergeCell ref="A57:A62"/>
    <mergeCell ref="A34:B34"/>
    <mergeCell ref="A31:A33"/>
    <mergeCell ref="A1:B1"/>
    <mergeCell ref="A2:B2"/>
    <mergeCell ref="A3:B3"/>
    <mergeCell ref="A4:B4"/>
    <mergeCell ref="A11:B11"/>
    <mergeCell ref="A16:B16"/>
    <mergeCell ref="A21:B21"/>
    <mergeCell ref="A26:B26"/>
    <mergeCell ref="A30:B30"/>
    <mergeCell ref="A12:A15"/>
    <mergeCell ref="A17:A20"/>
    <mergeCell ref="A22:A25"/>
    <mergeCell ref="A27:A29"/>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roup Box 1">
              <controlPr defaultSize="0" autoFill="0" autoPict="0">
                <anchor moveWithCells="1">
                  <from>
                    <xdr:col>0</xdr:col>
                    <xdr:colOff>1383030</xdr:colOff>
                    <xdr:row>10</xdr:row>
                    <xdr:rowOff>102870</xdr:rowOff>
                  </from>
                  <to>
                    <xdr:col>4</xdr:col>
                    <xdr:colOff>30480</xdr:colOff>
                    <xdr:row>15</xdr:row>
                    <xdr:rowOff>30480</xdr:rowOff>
                  </to>
                </anchor>
              </controlPr>
            </control>
          </mc:Choice>
        </mc:AlternateContent>
        <mc:AlternateContent xmlns:mc="http://schemas.openxmlformats.org/markup-compatibility/2006">
          <mc:Choice Requires="x14">
            <control shapeId="11266" r:id="rId5" name="Option Button 2">
              <controlPr defaultSize="0" autoFill="0" autoLine="0" autoPict="0">
                <anchor moveWithCells="1">
                  <from>
                    <xdr:col>1</xdr:col>
                    <xdr:colOff>26670</xdr:colOff>
                    <xdr:row>11</xdr:row>
                    <xdr:rowOff>0</xdr:rowOff>
                  </from>
                  <to>
                    <xdr:col>1</xdr:col>
                    <xdr:colOff>5840730</xdr:colOff>
                    <xdr:row>12</xdr:row>
                    <xdr:rowOff>0</xdr:rowOff>
                  </to>
                </anchor>
              </controlPr>
            </control>
          </mc:Choice>
        </mc:AlternateContent>
        <mc:AlternateContent xmlns:mc="http://schemas.openxmlformats.org/markup-compatibility/2006">
          <mc:Choice Requires="x14">
            <control shapeId="11267" r:id="rId6" name="Option Button 3">
              <controlPr defaultSize="0" autoFill="0" autoLine="0" autoPict="0">
                <anchor moveWithCells="1">
                  <from>
                    <xdr:col>1</xdr:col>
                    <xdr:colOff>26670</xdr:colOff>
                    <xdr:row>12</xdr:row>
                    <xdr:rowOff>0</xdr:rowOff>
                  </from>
                  <to>
                    <xdr:col>1</xdr:col>
                    <xdr:colOff>5840730</xdr:colOff>
                    <xdr:row>13</xdr:row>
                    <xdr:rowOff>0</xdr:rowOff>
                  </to>
                </anchor>
              </controlPr>
            </control>
          </mc:Choice>
        </mc:AlternateContent>
        <mc:AlternateContent xmlns:mc="http://schemas.openxmlformats.org/markup-compatibility/2006">
          <mc:Choice Requires="x14">
            <control shapeId="11268" r:id="rId7" name="Option Button 4">
              <controlPr defaultSize="0" autoFill="0" autoLine="0" autoPict="0">
                <anchor moveWithCells="1">
                  <from>
                    <xdr:col>1</xdr:col>
                    <xdr:colOff>30480</xdr:colOff>
                    <xdr:row>13</xdr:row>
                    <xdr:rowOff>0</xdr:rowOff>
                  </from>
                  <to>
                    <xdr:col>1</xdr:col>
                    <xdr:colOff>5840730</xdr:colOff>
                    <xdr:row>14</xdr:row>
                    <xdr:rowOff>0</xdr:rowOff>
                  </to>
                </anchor>
              </controlPr>
            </control>
          </mc:Choice>
        </mc:AlternateContent>
        <mc:AlternateContent xmlns:mc="http://schemas.openxmlformats.org/markup-compatibility/2006">
          <mc:Choice Requires="x14">
            <control shapeId="11269" r:id="rId8" name="Option Button 5">
              <controlPr defaultSize="0" autoFill="0" autoLine="0" autoPict="0">
                <anchor moveWithCells="1">
                  <from>
                    <xdr:col>1</xdr:col>
                    <xdr:colOff>26670</xdr:colOff>
                    <xdr:row>14</xdr:row>
                    <xdr:rowOff>0</xdr:rowOff>
                  </from>
                  <to>
                    <xdr:col>1</xdr:col>
                    <xdr:colOff>5840730</xdr:colOff>
                    <xdr:row>15</xdr:row>
                    <xdr:rowOff>0</xdr:rowOff>
                  </to>
                </anchor>
              </controlPr>
            </control>
          </mc:Choice>
        </mc:AlternateContent>
        <mc:AlternateContent xmlns:mc="http://schemas.openxmlformats.org/markup-compatibility/2006">
          <mc:Choice Requires="x14">
            <control shapeId="11270" r:id="rId9" name="Group Box 6">
              <controlPr defaultSize="0" autoFill="0" autoPict="0">
                <anchor moveWithCells="1">
                  <from>
                    <xdr:col>0</xdr:col>
                    <xdr:colOff>1409700</xdr:colOff>
                    <xdr:row>15</xdr:row>
                    <xdr:rowOff>144780</xdr:rowOff>
                  </from>
                  <to>
                    <xdr:col>4</xdr:col>
                    <xdr:colOff>144780</xdr:colOff>
                    <xdr:row>20</xdr:row>
                    <xdr:rowOff>102870</xdr:rowOff>
                  </to>
                </anchor>
              </controlPr>
            </control>
          </mc:Choice>
        </mc:AlternateContent>
        <mc:AlternateContent xmlns:mc="http://schemas.openxmlformats.org/markup-compatibility/2006">
          <mc:Choice Requires="x14">
            <control shapeId="11271" r:id="rId10" name="Group Box 7">
              <controlPr defaultSize="0" autoFill="0" autoPict="0">
                <anchor moveWithCells="1">
                  <from>
                    <xdr:col>0</xdr:col>
                    <xdr:colOff>1421130</xdr:colOff>
                    <xdr:row>20</xdr:row>
                    <xdr:rowOff>76200</xdr:rowOff>
                  </from>
                  <to>
                    <xdr:col>4</xdr:col>
                    <xdr:colOff>114300</xdr:colOff>
                    <xdr:row>25</xdr:row>
                    <xdr:rowOff>30480</xdr:rowOff>
                  </to>
                </anchor>
              </controlPr>
            </control>
          </mc:Choice>
        </mc:AlternateContent>
        <mc:AlternateContent xmlns:mc="http://schemas.openxmlformats.org/markup-compatibility/2006">
          <mc:Choice Requires="x14">
            <control shapeId="11272" r:id="rId11" name="Option Button 8">
              <controlPr defaultSize="0" autoFill="0" autoLine="0" autoPict="0">
                <anchor moveWithCells="1">
                  <from>
                    <xdr:col>1</xdr:col>
                    <xdr:colOff>26670</xdr:colOff>
                    <xdr:row>20</xdr:row>
                    <xdr:rowOff>217170</xdr:rowOff>
                  </from>
                  <to>
                    <xdr:col>1</xdr:col>
                    <xdr:colOff>5878830</xdr:colOff>
                    <xdr:row>22</xdr:row>
                    <xdr:rowOff>0</xdr:rowOff>
                  </to>
                </anchor>
              </controlPr>
            </control>
          </mc:Choice>
        </mc:AlternateContent>
        <mc:AlternateContent xmlns:mc="http://schemas.openxmlformats.org/markup-compatibility/2006">
          <mc:Choice Requires="x14">
            <control shapeId="11273" r:id="rId12" name="Option Button 9">
              <controlPr defaultSize="0" autoFill="0" autoLine="0" autoPict="0">
                <anchor moveWithCells="1">
                  <from>
                    <xdr:col>1</xdr:col>
                    <xdr:colOff>19050</xdr:colOff>
                    <xdr:row>21</xdr:row>
                    <xdr:rowOff>171450</xdr:rowOff>
                  </from>
                  <to>
                    <xdr:col>1</xdr:col>
                    <xdr:colOff>5878830</xdr:colOff>
                    <xdr:row>23</xdr:row>
                    <xdr:rowOff>0</xdr:rowOff>
                  </to>
                </anchor>
              </controlPr>
            </control>
          </mc:Choice>
        </mc:AlternateContent>
        <mc:AlternateContent xmlns:mc="http://schemas.openxmlformats.org/markup-compatibility/2006">
          <mc:Choice Requires="x14">
            <control shapeId="11274" r:id="rId13" name="Option Button 10">
              <controlPr defaultSize="0" autoFill="0" autoLine="0" autoPict="0">
                <anchor moveWithCells="1">
                  <from>
                    <xdr:col>1</xdr:col>
                    <xdr:colOff>19050</xdr:colOff>
                    <xdr:row>22</xdr:row>
                    <xdr:rowOff>171450</xdr:rowOff>
                  </from>
                  <to>
                    <xdr:col>1</xdr:col>
                    <xdr:colOff>5878830</xdr:colOff>
                    <xdr:row>24</xdr:row>
                    <xdr:rowOff>0</xdr:rowOff>
                  </to>
                </anchor>
              </controlPr>
            </control>
          </mc:Choice>
        </mc:AlternateContent>
        <mc:AlternateContent xmlns:mc="http://schemas.openxmlformats.org/markup-compatibility/2006">
          <mc:Choice Requires="x14">
            <control shapeId="11275" r:id="rId14" name="Option Button 11">
              <controlPr defaultSize="0" autoFill="0" autoLine="0" autoPict="0">
                <anchor moveWithCells="1">
                  <from>
                    <xdr:col>1</xdr:col>
                    <xdr:colOff>19050</xdr:colOff>
                    <xdr:row>23</xdr:row>
                    <xdr:rowOff>171450</xdr:rowOff>
                  </from>
                  <to>
                    <xdr:col>1</xdr:col>
                    <xdr:colOff>5878830</xdr:colOff>
                    <xdr:row>25</xdr:row>
                    <xdr:rowOff>0</xdr:rowOff>
                  </to>
                </anchor>
              </controlPr>
            </control>
          </mc:Choice>
        </mc:AlternateContent>
        <mc:AlternateContent xmlns:mc="http://schemas.openxmlformats.org/markup-compatibility/2006">
          <mc:Choice Requires="x14">
            <control shapeId="11276" r:id="rId15" name="Group Box 12">
              <controlPr defaultSize="0" autoFill="0" autoPict="0">
                <anchor moveWithCells="1">
                  <from>
                    <xdr:col>0</xdr:col>
                    <xdr:colOff>1409700</xdr:colOff>
                    <xdr:row>25</xdr:row>
                    <xdr:rowOff>114300</xdr:rowOff>
                  </from>
                  <to>
                    <xdr:col>4</xdr:col>
                    <xdr:colOff>49530</xdr:colOff>
                    <xdr:row>28</xdr:row>
                    <xdr:rowOff>179070</xdr:rowOff>
                  </to>
                </anchor>
              </controlPr>
            </control>
          </mc:Choice>
        </mc:AlternateContent>
        <mc:AlternateContent xmlns:mc="http://schemas.openxmlformats.org/markup-compatibility/2006">
          <mc:Choice Requires="x14">
            <control shapeId="11277" r:id="rId16" name="Option Button 13">
              <controlPr defaultSize="0" autoFill="0" autoLine="0" autoPict="0">
                <anchor moveWithCells="1">
                  <from>
                    <xdr:col>1</xdr:col>
                    <xdr:colOff>11430</xdr:colOff>
                    <xdr:row>26</xdr:row>
                    <xdr:rowOff>0</xdr:rowOff>
                  </from>
                  <to>
                    <xdr:col>4</xdr:col>
                    <xdr:colOff>19050</xdr:colOff>
                    <xdr:row>26</xdr:row>
                    <xdr:rowOff>163830</xdr:rowOff>
                  </to>
                </anchor>
              </controlPr>
            </control>
          </mc:Choice>
        </mc:AlternateContent>
        <mc:AlternateContent xmlns:mc="http://schemas.openxmlformats.org/markup-compatibility/2006">
          <mc:Choice Requires="x14">
            <control shapeId="11278" r:id="rId17" name="Option Button 14">
              <controlPr defaultSize="0" autoFill="0" autoLine="0" autoPict="0">
                <anchor moveWithCells="1">
                  <from>
                    <xdr:col>1</xdr:col>
                    <xdr:colOff>11430</xdr:colOff>
                    <xdr:row>26</xdr:row>
                    <xdr:rowOff>171450</xdr:rowOff>
                  </from>
                  <to>
                    <xdr:col>2</xdr:col>
                    <xdr:colOff>0</xdr:colOff>
                    <xdr:row>27</xdr:row>
                    <xdr:rowOff>163830</xdr:rowOff>
                  </to>
                </anchor>
              </controlPr>
            </control>
          </mc:Choice>
        </mc:AlternateContent>
        <mc:AlternateContent xmlns:mc="http://schemas.openxmlformats.org/markup-compatibility/2006">
          <mc:Choice Requires="x14">
            <control shapeId="11279" r:id="rId18" name="Option Button 15">
              <controlPr defaultSize="0" autoFill="0" autoLine="0" autoPict="0">
                <anchor moveWithCells="1">
                  <from>
                    <xdr:col>1</xdr:col>
                    <xdr:colOff>11430</xdr:colOff>
                    <xdr:row>27</xdr:row>
                    <xdr:rowOff>171450</xdr:rowOff>
                  </from>
                  <to>
                    <xdr:col>2</xdr:col>
                    <xdr:colOff>0</xdr:colOff>
                    <xdr:row>28</xdr:row>
                    <xdr:rowOff>163830</xdr:rowOff>
                  </to>
                </anchor>
              </controlPr>
            </control>
          </mc:Choice>
        </mc:AlternateContent>
        <mc:AlternateContent xmlns:mc="http://schemas.openxmlformats.org/markup-compatibility/2006">
          <mc:Choice Requires="x14">
            <control shapeId="11280" r:id="rId19" name="Group Box 16">
              <controlPr defaultSize="0" autoFill="0" autoPict="0">
                <anchor moveWithCells="1">
                  <from>
                    <xdr:col>0</xdr:col>
                    <xdr:colOff>1409700</xdr:colOff>
                    <xdr:row>29</xdr:row>
                    <xdr:rowOff>468630</xdr:rowOff>
                  </from>
                  <to>
                    <xdr:col>4</xdr:col>
                    <xdr:colOff>140970</xdr:colOff>
                    <xdr:row>33</xdr:row>
                    <xdr:rowOff>83820</xdr:rowOff>
                  </to>
                </anchor>
              </controlPr>
            </control>
          </mc:Choice>
        </mc:AlternateContent>
        <mc:AlternateContent xmlns:mc="http://schemas.openxmlformats.org/markup-compatibility/2006">
          <mc:Choice Requires="x14">
            <control shapeId="11281" r:id="rId20" name="Option Button 17">
              <controlPr defaultSize="0" autoFill="0" autoLine="0" autoPict="0">
                <anchor moveWithCells="1">
                  <from>
                    <xdr:col>1</xdr:col>
                    <xdr:colOff>30480</xdr:colOff>
                    <xdr:row>30</xdr:row>
                    <xdr:rowOff>11430</xdr:rowOff>
                  </from>
                  <to>
                    <xdr:col>1</xdr:col>
                    <xdr:colOff>5878830</xdr:colOff>
                    <xdr:row>31</xdr:row>
                    <xdr:rowOff>0</xdr:rowOff>
                  </to>
                </anchor>
              </controlPr>
            </control>
          </mc:Choice>
        </mc:AlternateContent>
        <mc:AlternateContent xmlns:mc="http://schemas.openxmlformats.org/markup-compatibility/2006">
          <mc:Choice Requires="x14">
            <control shapeId="11282" r:id="rId21" name="Option Button 18">
              <controlPr defaultSize="0" autoFill="0" autoLine="0" autoPict="0">
                <anchor moveWithCells="1">
                  <from>
                    <xdr:col>1</xdr:col>
                    <xdr:colOff>30480</xdr:colOff>
                    <xdr:row>31</xdr:row>
                    <xdr:rowOff>11430</xdr:rowOff>
                  </from>
                  <to>
                    <xdr:col>1</xdr:col>
                    <xdr:colOff>5878830</xdr:colOff>
                    <xdr:row>32</xdr:row>
                    <xdr:rowOff>0</xdr:rowOff>
                  </to>
                </anchor>
              </controlPr>
            </control>
          </mc:Choice>
        </mc:AlternateContent>
        <mc:AlternateContent xmlns:mc="http://schemas.openxmlformats.org/markup-compatibility/2006">
          <mc:Choice Requires="x14">
            <control shapeId="11283" r:id="rId22" name="Option Button 19">
              <controlPr defaultSize="0" autoFill="0" autoLine="0" autoPict="0">
                <anchor moveWithCells="1">
                  <from>
                    <xdr:col>1</xdr:col>
                    <xdr:colOff>30480</xdr:colOff>
                    <xdr:row>32</xdr:row>
                    <xdr:rowOff>11430</xdr:rowOff>
                  </from>
                  <to>
                    <xdr:col>1</xdr:col>
                    <xdr:colOff>5878830</xdr:colOff>
                    <xdr:row>33</xdr:row>
                    <xdr:rowOff>0</xdr:rowOff>
                  </to>
                </anchor>
              </controlPr>
            </control>
          </mc:Choice>
        </mc:AlternateContent>
        <mc:AlternateContent xmlns:mc="http://schemas.openxmlformats.org/markup-compatibility/2006">
          <mc:Choice Requires="x14">
            <control shapeId="11284" r:id="rId23" name="Group Box 20">
              <controlPr defaultSize="0" autoFill="0" autoPict="0">
                <anchor moveWithCells="1">
                  <from>
                    <xdr:col>0</xdr:col>
                    <xdr:colOff>1409700</xdr:colOff>
                    <xdr:row>33</xdr:row>
                    <xdr:rowOff>140970</xdr:rowOff>
                  </from>
                  <to>
                    <xdr:col>4</xdr:col>
                    <xdr:colOff>125730</xdr:colOff>
                    <xdr:row>39</xdr:row>
                    <xdr:rowOff>68580</xdr:rowOff>
                  </to>
                </anchor>
              </controlPr>
            </control>
          </mc:Choice>
        </mc:AlternateContent>
        <mc:AlternateContent xmlns:mc="http://schemas.openxmlformats.org/markup-compatibility/2006">
          <mc:Choice Requires="x14">
            <control shapeId="11285" r:id="rId24" name="Option Button 21">
              <controlPr defaultSize="0" autoFill="0" autoLine="0" autoPict="0">
                <anchor moveWithCells="1">
                  <from>
                    <xdr:col>1</xdr:col>
                    <xdr:colOff>38100</xdr:colOff>
                    <xdr:row>34</xdr:row>
                    <xdr:rowOff>19050</xdr:rowOff>
                  </from>
                  <to>
                    <xdr:col>1</xdr:col>
                    <xdr:colOff>5715000</xdr:colOff>
                    <xdr:row>35</xdr:row>
                    <xdr:rowOff>19050</xdr:rowOff>
                  </to>
                </anchor>
              </controlPr>
            </control>
          </mc:Choice>
        </mc:AlternateContent>
        <mc:AlternateContent xmlns:mc="http://schemas.openxmlformats.org/markup-compatibility/2006">
          <mc:Choice Requires="x14">
            <control shapeId="11286" r:id="rId25" name="Option Button 22">
              <controlPr defaultSize="0" autoFill="0" autoLine="0" autoPict="0">
                <anchor moveWithCells="1">
                  <from>
                    <xdr:col>1</xdr:col>
                    <xdr:colOff>38100</xdr:colOff>
                    <xdr:row>35</xdr:row>
                    <xdr:rowOff>11430</xdr:rowOff>
                  </from>
                  <to>
                    <xdr:col>1</xdr:col>
                    <xdr:colOff>5829300</xdr:colOff>
                    <xdr:row>36</xdr:row>
                    <xdr:rowOff>0</xdr:rowOff>
                  </to>
                </anchor>
              </controlPr>
            </control>
          </mc:Choice>
        </mc:AlternateContent>
        <mc:AlternateContent xmlns:mc="http://schemas.openxmlformats.org/markup-compatibility/2006">
          <mc:Choice Requires="x14">
            <control shapeId="11287" r:id="rId26" name="Option Button 23">
              <controlPr defaultSize="0" autoFill="0" autoLine="0" autoPict="0">
                <anchor moveWithCells="1">
                  <from>
                    <xdr:col>1</xdr:col>
                    <xdr:colOff>26670</xdr:colOff>
                    <xdr:row>35</xdr:row>
                    <xdr:rowOff>521970</xdr:rowOff>
                  </from>
                  <to>
                    <xdr:col>1</xdr:col>
                    <xdr:colOff>5734050</xdr:colOff>
                    <xdr:row>37</xdr:row>
                    <xdr:rowOff>30480</xdr:rowOff>
                  </to>
                </anchor>
              </controlPr>
            </control>
          </mc:Choice>
        </mc:AlternateContent>
        <mc:AlternateContent xmlns:mc="http://schemas.openxmlformats.org/markup-compatibility/2006">
          <mc:Choice Requires="x14">
            <control shapeId="11288" r:id="rId27" name="Option Button 24">
              <controlPr defaultSize="0" autoFill="0" autoLine="0" autoPict="0">
                <anchor moveWithCells="1">
                  <from>
                    <xdr:col>1</xdr:col>
                    <xdr:colOff>26670</xdr:colOff>
                    <xdr:row>36</xdr:row>
                    <xdr:rowOff>476250</xdr:rowOff>
                  </from>
                  <to>
                    <xdr:col>1</xdr:col>
                    <xdr:colOff>5715000</xdr:colOff>
                    <xdr:row>37</xdr:row>
                    <xdr:rowOff>361950</xdr:rowOff>
                  </to>
                </anchor>
              </controlPr>
            </control>
          </mc:Choice>
        </mc:AlternateContent>
        <mc:AlternateContent xmlns:mc="http://schemas.openxmlformats.org/markup-compatibility/2006">
          <mc:Choice Requires="x14">
            <control shapeId="11289" r:id="rId28" name="Option Button 25">
              <controlPr defaultSize="0" autoFill="0" autoLine="0" autoPict="0">
                <anchor moveWithCells="1">
                  <from>
                    <xdr:col>1</xdr:col>
                    <xdr:colOff>19050</xdr:colOff>
                    <xdr:row>38</xdr:row>
                    <xdr:rowOff>11430</xdr:rowOff>
                  </from>
                  <to>
                    <xdr:col>1</xdr:col>
                    <xdr:colOff>5855970</xdr:colOff>
                    <xdr:row>39</xdr:row>
                    <xdr:rowOff>0</xdr:rowOff>
                  </to>
                </anchor>
              </controlPr>
            </control>
          </mc:Choice>
        </mc:AlternateContent>
        <mc:AlternateContent xmlns:mc="http://schemas.openxmlformats.org/markup-compatibility/2006">
          <mc:Choice Requires="x14">
            <control shapeId="11290" r:id="rId29" name="Group Box 26">
              <controlPr defaultSize="0" autoFill="0" autoPict="0">
                <anchor moveWithCells="1">
                  <from>
                    <xdr:col>0</xdr:col>
                    <xdr:colOff>1344930</xdr:colOff>
                    <xdr:row>39</xdr:row>
                    <xdr:rowOff>342900</xdr:rowOff>
                  </from>
                  <to>
                    <xdr:col>4</xdr:col>
                    <xdr:colOff>106680</xdr:colOff>
                    <xdr:row>43</xdr:row>
                    <xdr:rowOff>76200</xdr:rowOff>
                  </to>
                </anchor>
              </controlPr>
            </control>
          </mc:Choice>
        </mc:AlternateContent>
        <mc:AlternateContent xmlns:mc="http://schemas.openxmlformats.org/markup-compatibility/2006">
          <mc:Choice Requires="x14">
            <control shapeId="11291" r:id="rId30" name="Option Button 27">
              <controlPr defaultSize="0" autoFill="0" autoLine="0" autoPict="0">
                <anchor moveWithCells="1">
                  <from>
                    <xdr:col>1</xdr:col>
                    <xdr:colOff>26670</xdr:colOff>
                    <xdr:row>40</xdr:row>
                    <xdr:rowOff>7620</xdr:rowOff>
                  </from>
                  <to>
                    <xdr:col>1</xdr:col>
                    <xdr:colOff>5878830</xdr:colOff>
                    <xdr:row>41</xdr:row>
                    <xdr:rowOff>0</xdr:rowOff>
                  </to>
                </anchor>
              </controlPr>
            </control>
          </mc:Choice>
        </mc:AlternateContent>
        <mc:AlternateContent xmlns:mc="http://schemas.openxmlformats.org/markup-compatibility/2006">
          <mc:Choice Requires="x14">
            <control shapeId="11292" r:id="rId31" name="Option Button 28">
              <controlPr defaultSize="0" autoFill="0" autoLine="0" autoPict="0">
                <anchor moveWithCells="1">
                  <from>
                    <xdr:col>1</xdr:col>
                    <xdr:colOff>26670</xdr:colOff>
                    <xdr:row>41</xdr:row>
                    <xdr:rowOff>7620</xdr:rowOff>
                  </from>
                  <to>
                    <xdr:col>1</xdr:col>
                    <xdr:colOff>5878830</xdr:colOff>
                    <xdr:row>42</xdr:row>
                    <xdr:rowOff>0</xdr:rowOff>
                  </to>
                </anchor>
              </controlPr>
            </control>
          </mc:Choice>
        </mc:AlternateContent>
        <mc:AlternateContent xmlns:mc="http://schemas.openxmlformats.org/markup-compatibility/2006">
          <mc:Choice Requires="x14">
            <control shapeId="11293" r:id="rId32" name="Option Button 29">
              <controlPr defaultSize="0" autoFill="0" autoLine="0" autoPict="0">
                <anchor moveWithCells="1">
                  <from>
                    <xdr:col>1</xdr:col>
                    <xdr:colOff>26670</xdr:colOff>
                    <xdr:row>42</xdr:row>
                    <xdr:rowOff>7620</xdr:rowOff>
                  </from>
                  <to>
                    <xdr:col>1</xdr:col>
                    <xdr:colOff>5878830</xdr:colOff>
                    <xdr:row>43</xdr:row>
                    <xdr:rowOff>0</xdr:rowOff>
                  </to>
                </anchor>
              </controlPr>
            </control>
          </mc:Choice>
        </mc:AlternateContent>
        <mc:AlternateContent xmlns:mc="http://schemas.openxmlformats.org/markup-compatibility/2006">
          <mc:Choice Requires="x14">
            <control shapeId="11294" r:id="rId33" name="Group Box 30">
              <controlPr defaultSize="0" autoFill="0" autoPict="0">
                <anchor moveWithCells="1">
                  <from>
                    <xdr:col>0</xdr:col>
                    <xdr:colOff>1352550</xdr:colOff>
                    <xdr:row>43</xdr:row>
                    <xdr:rowOff>266700</xdr:rowOff>
                  </from>
                  <to>
                    <xdr:col>4</xdr:col>
                    <xdr:colOff>228600</xdr:colOff>
                    <xdr:row>48</xdr:row>
                    <xdr:rowOff>106680</xdr:rowOff>
                  </to>
                </anchor>
              </controlPr>
            </control>
          </mc:Choice>
        </mc:AlternateContent>
        <mc:AlternateContent xmlns:mc="http://schemas.openxmlformats.org/markup-compatibility/2006">
          <mc:Choice Requires="x14">
            <control shapeId="11295" r:id="rId34" name="Option Button 31">
              <controlPr defaultSize="0" autoFill="0" autoLine="0" autoPict="0">
                <anchor moveWithCells="1">
                  <from>
                    <xdr:col>1</xdr:col>
                    <xdr:colOff>19050</xdr:colOff>
                    <xdr:row>44</xdr:row>
                    <xdr:rowOff>0</xdr:rowOff>
                  </from>
                  <to>
                    <xdr:col>1</xdr:col>
                    <xdr:colOff>5878830</xdr:colOff>
                    <xdr:row>45</xdr:row>
                    <xdr:rowOff>19050</xdr:rowOff>
                  </to>
                </anchor>
              </controlPr>
            </control>
          </mc:Choice>
        </mc:AlternateContent>
        <mc:AlternateContent xmlns:mc="http://schemas.openxmlformats.org/markup-compatibility/2006">
          <mc:Choice Requires="x14">
            <control shapeId="11296" r:id="rId35" name="Option Button 32">
              <controlPr defaultSize="0" autoFill="0" autoLine="0" autoPict="0">
                <anchor moveWithCells="1">
                  <from>
                    <xdr:col>1</xdr:col>
                    <xdr:colOff>19050</xdr:colOff>
                    <xdr:row>45</xdr:row>
                    <xdr:rowOff>0</xdr:rowOff>
                  </from>
                  <to>
                    <xdr:col>1</xdr:col>
                    <xdr:colOff>5878830</xdr:colOff>
                    <xdr:row>46</xdr:row>
                    <xdr:rowOff>19050</xdr:rowOff>
                  </to>
                </anchor>
              </controlPr>
            </control>
          </mc:Choice>
        </mc:AlternateContent>
        <mc:AlternateContent xmlns:mc="http://schemas.openxmlformats.org/markup-compatibility/2006">
          <mc:Choice Requires="x14">
            <control shapeId="11297" r:id="rId36" name="Option Button 33">
              <controlPr defaultSize="0" autoFill="0" autoLine="0" autoPict="0">
                <anchor moveWithCells="1">
                  <from>
                    <xdr:col>1</xdr:col>
                    <xdr:colOff>19050</xdr:colOff>
                    <xdr:row>46</xdr:row>
                    <xdr:rowOff>0</xdr:rowOff>
                  </from>
                  <to>
                    <xdr:col>1</xdr:col>
                    <xdr:colOff>5878830</xdr:colOff>
                    <xdr:row>47</xdr:row>
                    <xdr:rowOff>19050</xdr:rowOff>
                  </to>
                </anchor>
              </controlPr>
            </control>
          </mc:Choice>
        </mc:AlternateContent>
        <mc:AlternateContent xmlns:mc="http://schemas.openxmlformats.org/markup-compatibility/2006">
          <mc:Choice Requires="x14">
            <control shapeId="11298" r:id="rId37" name="Option Button 34">
              <controlPr defaultSize="0" autoFill="0" autoLine="0" autoPict="0">
                <anchor moveWithCells="1">
                  <from>
                    <xdr:col>1</xdr:col>
                    <xdr:colOff>19050</xdr:colOff>
                    <xdr:row>46</xdr:row>
                    <xdr:rowOff>171450</xdr:rowOff>
                  </from>
                  <to>
                    <xdr:col>1</xdr:col>
                    <xdr:colOff>5878830</xdr:colOff>
                    <xdr:row>48</xdr:row>
                    <xdr:rowOff>0</xdr:rowOff>
                  </to>
                </anchor>
              </controlPr>
            </control>
          </mc:Choice>
        </mc:AlternateContent>
        <mc:AlternateContent xmlns:mc="http://schemas.openxmlformats.org/markup-compatibility/2006">
          <mc:Choice Requires="x14">
            <control shapeId="11299" r:id="rId38" name="Group Box 35">
              <controlPr defaultSize="0" autoFill="0" autoPict="0">
                <anchor moveWithCells="1">
                  <from>
                    <xdr:col>0</xdr:col>
                    <xdr:colOff>1383030</xdr:colOff>
                    <xdr:row>48</xdr:row>
                    <xdr:rowOff>114300</xdr:rowOff>
                  </from>
                  <to>
                    <xdr:col>4</xdr:col>
                    <xdr:colOff>335280</xdr:colOff>
                    <xdr:row>52</xdr:row>
                    <xdr:rowOff>68580</xdr:rowOff>
                  </to>
                </anchor>
              </controlPr>
            </control>
          </mc:Choice>
        </mc:AlternateContent>
        <mc:AlternateContent xmlns:mc="http://schemas.openxmlformats.org/markup-compatibility/2006">
          <mc:Choice Requires="x14">
            <control shapeId="11300" r:id="rId39" name="Option Button 36">
              <controlPr defaultSize="0" autoFill="0" autoLine="0" autoPict="0">
                <anchor moveWithCells="1">
                  <from>
                    <xdr:col>1</xdr:col>
                    <xdr:colOff>11430</xdr:colOff>
                    <xdr:row>48</xdr:row>
                    <xdr:rowOff>171450</xdr:rowOff>
                  </from>
                  <to>
                    <xdr:col>1</xdr:col>
                    <xdr:colOff>5798820</xdr:colOff>
                    <xdr:row>50</xdr:row>
                    <xdr:rowOff>19050</xdr:rowOff>
                  </to>
                </anchor>
              </controlPr>
            </control>
          </mc:Choice>
        </mc:AlternateContent>
        <mc:AlternateContent xmlns:mc="http://schemas.openxmlformats.org/markup-compatibility/2006">
          <mc:Choice Requires="x14">
            <control shapeId="11301" r:id="rId40" name="Option Button 37">
              <controlPr defaultSize="0" autoFill="0" autoLine="0" autoPict="0">
                <anchor moveWithCells="1">
                  <from>
                    <xdr:col>1</xdr:col>
                    <xdr:colOff>11430</xdr:colOff>
                    <xdr:row>49</xdr:row>
                    <xdr:rowOff>171450</xdr:rowOff>
                  </from>
                  <to>
                    <xdr:col>1</xdr:col>
                    <xdr:colOff>5798820</xdr:colOff>
                    <xdr:row>50</xdr:row>
                    <xdr:rowOff>179070</xdr:rowOff>
                  </to>
                </anchor>
              </controlPr>
            </control>
          </mc:Choice>
        </mc:AlternateContent>
        <mc:AlternateContent xmlns:mc="http://schemas.openxmlformats.org/markup-compatibility/2006">
          <mc:Choice Requires="x14">
            <control shapeId="11302" r:id="rId41" name="Option Button 38">
              <controlPr defaultSize="0" autoFill="0" autoLine="0" autoPict="0">
                <anchor moveWithCells="1">
                  <from>
                    <xdr:col>1</xdr:col>
                    <xdr:colOff>11430</xdr:colOff>
                    <xdr:row>50</xdr:row>
                    <xdr:rowOff>171450</xdr:rowOff>
                  </from>
                  <to>
                    <xdr:col>1</xdr:col>
                    <xdr:colOff>5798820</xdr:colOff>
                    <xdr:row>51</xdr:row>
                    <xdr:rowOff>179070</xdr:rowOff>
                  </to>
                </anchor>
              </controlPr>
            </control>
          </mc:Choice>
        </mc:AlternateContent>
        <mc:AlternateContent xmlns:mc="http://schemas.openxmlformats.org/markup-compatibility/2006">
          <mc:Choice Requires="x14">
            <control shapeId="11303" r:id="rId42" name="Group Box 39">
              <controlPr defaultSize="0" autoFill="0" autoPict="0">
                <anchor moveWithCells="1">
                  <from>
                    <xdr:col>0</xdr:col>
                    <xdr:colOff>1428750</xdr:colOff>
                    <xdr:row>53</xdr:row>
                    <xdr:rowOff>87630</xdr:rowOff>
                  </from>
                  <to>
                    <xdr:col>4</xdr:col>
                    <xdr:colOff>163830</xdr:colOff>
                    <xdr:row>56</xdr:row>
                    <xdr:rowOff>83820</xdr:rowOff>
                  </to>
                </anchor>
              </controlPr>
            </control>
          </mc:Choice>
        </mc:AlternateContent>
        <mc:AlternateContent xmlns:mc="http://schemas.openxmlformats.org/markup-compatibility/2006">
          <mc:Choice Requires="x14">
            <control shapeId="11304" r:id="rId43" name="Option Button 40">
              <controlPr defaultSize="0" autoFill="0" autoLine="0" autoPict="0">
                <anchor moveWithCells="1">
                  <from>
                    <xdr:col>0</xdr:col>
                    <xdr:colOff>1447800</xdr:colOff>
                    <xdr:row>53</xdr:row>
                    <xdr:rowOff>198120</xdr:rowOff>
                  </from>
                  <to>
                    <xdr:col>1</xdr:col>
                    <xdr:colOff>5878830</xdr:colOff>
                    <xdr:row>55</xdr:row>
                    <xdr:rowOff>19050</xdr:rowOff>
                  </to>
                </anchor>
              </controlPr>
            </control>
          </mc:Choice>
        </mc:AlternateContent>
        <mc:AlternateContent xmlns:mc="http://schemas.openxmlformats.org/markup-compatibility/2006">
          <mc:Choice Requires="x14">
            <control shapeId="11305" r:id="rId44" name="Option Button 41">
              <controlPr defaultSize="0" autoFill="0" autoLine="0" autoPict="0">
                <anchor moveWithCells="1">
                  <from>
                    <xdr:col>0</xdr:col>
                    <xdr:colOff>1447800</xdr:colOff>
                    <xdr:row>54</xdr:row>
                    <xdr:rowOff>198120</xdr:rowOff>
                  </from>
                  <to>
                    <xdr:col>1</xdr:col>
                    <xdr:colOff>5878830</xdr:colOff>
                    <xdr:row>56</xdr:row>
                    <xdr:rowOff>19050</xdr:rowOff>
                  </to>
                </anchor>
              </controlPr>
            </control>
          </mc:Choice>
        </mc:AlternateContent>
        <mc:AlternateContent xmlns:mc="http://schemas.openxmlformats.org/markup-compatibility/2006">
          <mc:Choice Requires="x14">
            <control shapeId="11306" r:id="rId45" name="Group Box 42">
              <controlPr defaultSize="0" autoFill="0" autoPict="0">
                <anchor moveWithCells="1">
                  <from>
                    <xdr:col>0</xdr:col>
                    <xdr:colOff>1325880</xdr:colOff>
                    <xdr:row>56</xdr:row>
                    <xdr:rowOff>114300</xdr:rowOff>
                  </from>
                  <to>
                    <xdr:col>4</xdr:col>
                    <xdr:colOff>114300</xdr:colOff>
                    <xdr:row>62</xdr:row>
                    <xdr:rowOff>228600</xdr:rowOff>
                  </to>
                </anchor>
              </controlPr>
            </control>
          </mc:Choice>
        </mc:AlternateContent>
        <mc:AlternateContent xmlns:mc="http://schemas.openxmlformats.org/markup-compatibility/2006">
          <mc:Choice Requires="x14">
            <control shapeId="11307" r:id="rId46" name="Option Button 43">
              <controlPr defaultSize="0" autoFill="0" autoLine="0" autoPict="0">
                <anchor moveWithCells="1">
                  <from>
                    <xdr:col>0</xdr:col>
                    <xdr:colOff>1447800</xdr:colOff>
                    <xdr:row>56</xdr:row>
                    <xdr:rowOff>182880</xdr:rowOff>
                  </from>
                  <to>
                    <xdr:col>1</xdr:col>
                    <xdr:colOff>5798820</xdr:colOff>
                    <xdr:row>58</xdr:row>
                    <xdr:rowOff>49530</xdr:rowOff>
                  </to>
                </anchor>
              </controlPr>
            </control>
          </mc:Choice>
        </mc:AlternateContent>
        <mc:AlternateContent xmlns:mc="http://schemas.openxmlformats.org/markup-compatibility/2006">
          <mc:Choice Requires="x14">
            <control shapeId="11308" r:id="rId47" name="Option Button 44">
              <controlPr defaultSize="0" autoFill="0" autoLine="0" autoPict="0">
                <anchor moveWithCells="1">
                  <from>
                    <xdr:col>0</xdr:col>
                    <xdr:colOff>1447800</xdr:colOff>
                    <xdr:row>57</xdr:row>
                    <xdr:rowOff>445770</xdr:rowOff>
                  </from>
                  <to>
                    <xdr:col>1</xdr:col>
                    <xdr:colOff>5695950</xdr:colOff>
                    <xdr:row>59</xdr:row>
                    <xdr:rowOff>19050</xdr:rowOff>
                  </to>
                </anchor>
              </controlPr>
            </control>
          </mc:Choice>
        </mc:AlternateContent>
        <mc:AlternateContent xmlns:mc="http://schemas.openxmlformats.org/markup-compatibility/2006">
          <mc:Choice Requires="x14">
            <control shapeId="11309" r:id="rId48" name="Option Button 45">
              <controlPr defaultSize="0" autoFill="0" autoLine="0" autoPict="0">
                <anchor moveWithCells="1">
                  <from>
                    <xdr:col>1</xdr:col>
                    <xdr:colOff>7620</xdr:colOff>
                    <xdr:row>59</xdr:row>
                    <xdr:rowOff>26670</xdr:rowOff>
                  </from>
                  <to>
                    <xdr:col>1</xdr:col>
                    <xdr:colOff>5688330</xdr:colOff>
                    <xdr:row>60</xdr:row>
                    <xdr:rowOff>0</xdr:rowOff>
                  </to>
                </anchor>
              </controlPr>
            </control>
          </mc:Choice>
        </mc:AlternateContent>
        <mc:AlternateContent xmlns:mc="http://schemas.openxmlformats.org/markup-compatibility/2006">
          <mc:Choice Requires="x14">
            <control shapeId="11310" r:id="rId49" name="Option Button 46">
              <controlPr defaultSize="0" autoFill="0" autoLine="0" autoPict="0">
                <anchor moveWithCells="1">
                  <from>
                    <xdr:col>1</xdr:col>
                    <xdr:colOff>26670</xdr:colOff>
                    <xdr:row>60</xdr:row>
                    <xdr:rowOff>7620</xdr:rowOff>
                  </from>
                  <to>
                    <xdr:col>1</xdr:col>
                    <xdr:colOff>5783580</xdr:colOff>
                    <xdr:row>61</xdr:row>
                    <xdr:rowOff>0</xdr:rowOff>
                  </to>
                </anchor>
              </controlPr>
            </control>
          </mc:Choice>
        </mc:AlternateContent>
        <mc:AlternateContent xmlns:mc="http://schemas.openxmlformats.org/markup-compatibility/2006">
          <mc:Choice Requires="x14">
            <control shapeId="11311" r:id="rId50" name="Option Button 47">
              <controlPr defaultSize="0" autoFill="0" autoLine="0" autoPict="0">
                <anchor moveWithCells="1">
                  <from>
                    <xdr:col>1</xdr:col>
                    <xdr:colOff>26670</xdr:colOff>
                    <xdr:row>61</xdr:row>
                    <xdr:rowOff>0</xdr:rowOff>
                  </from>
                  <to>
                    <xdr:col>1</xdr:col>
                    <xdr:colOff>5574030</xdr:colOff>
                    <xdr:row>61</xdr:row>
                    <xdr:rowOff>392430</xdr:rowOff>
                  </to>
                </anchor>
              </controlPr>
            </control>
          </mc:Choice>
        </mc:AlternateContent>
        <mc:AlternateContent xmlns:mc="http://schemas.openxmlformats.org/markup-compatibility/2006">
          <mc:Choice Requires="x14">
            <control shapeId="11312" r:id="rId51" name="Group Box 48">
              <controlPr defaultSize="0" autoFill="0" autoPict="0">
                <anchor moveWithCells="1">
                  <from>
                    <xdr:col>0</xdr:col>
                    <xdr:colOff>19050</xdr:colOff>
                    <xdr:row>62</xdr:row>
                    <xdr:rowOff>430530</xdr:rowOff>
                  </from>
                  <to>
                    <xdr:col>4</xdr:col>
                    <xdr:colOff>209550</xdr:colOff>
                    <xdr:row>65</xdr:row>
                    <xdr:rowOff>64770</xdr:rowOff>
                  </to>
                </anchor>
              </controlPr>
            </control>
          </mc:Choice>
        </mc:AlternateContent>
        <mc:AlternateContent xmlns:mc="http://schemas.openxmlformats.org/markup-compatibility/2006">
          <mc:Choice Requires="x14">
            <control shapeId="11313" r:id="rId52" name="Option Button 49">
              <controlPr defaultSize="0" autoFill="0" autoLine="0" autoPict="0">
                <anchor moveWithCells="1">
                  <from>
                    <xdr:col>1</xdr:col>
                    <xdr:colOff>11430</xdr:colOff>
                    <xdr:row>63</xdr:row>
                    <xdr:rowOff>0</xdr:rowOff>
                  </from>
                  <to>
                    <xdr:col>2</xdr:col>
                    <xdr:colOff>0</xdr:colOff>
                    <xdr:row>64</xdr:row>
                    <xdr:rowOff>19050</xdr:rowOff>
                  </to>
                </anchor>
              </controlPr>
            </control>
          </mc:Choice>
        </mc:AlternateContent>
        <mc:AlternateContent xmlns:mc="http://schemas.openxmlformats.org/markup-compatibility/2006">
          <mc:Choice Requires="x14">
            <control shapeId="11314" r:id="rId53" name="Option Button 50">
              <controlPr defaultSize="0" autoFill="0" autoLine="0" autoPict="0">
                <anchor moveWithCells="1">
                  <from>
                    <xdr:col>1</xdr:col>
                    <xdr:colOff>11430</xdr:colOff>
                    <xdr:row>64</xdr:row>
                    <xdr:rowOff>0</xdr:rowOff>
                  </from>
                  <to>
                    <xdr:col>2</xdr:col>
                    <xdr:colOff>0</xdr:colOff>
                    <xdr:row>65</xdr:row>
                    <xdr:rowOff>49530</xdr:rowOff>
                  </to>
                </anchor>
              </controlPr>
            </control>
          </mc:Choice>
        </mc:AlternateContent>
        <mc:AlternateContent xmlns:mc="http://schemas.openxmlformats.org/markup-compatibility/2006">
          <mc:Choice Requires="x14">
            <control shapeId="11315" r:id="rId54" name="Group Box 51">
              <controlPr defaultSize="0" autoFill="0" autoPict="0">
                <anchor moveWithCells="1">
                  <from>
                    <xdr:col>0</xdr:col>
                    <xdr:colOff>1428750</xdr:colOff>
                    <xdr:row>65</xdr:row>
                    <xdr:rowOff>95250</xdr:rowOff>
                  </from>
                  <to>
                    <xdr:col>4</xdr:col>
                    <xdr:colOff>30480</xdr:colOff>
                    <xdr:row>72</xdr:row>
                    <xdr:rowOff>121920</xdr:rowOff>
                  </to>
                </anchor>
              </controlPr>
            </control>
          </mc:Choice>
        </mc:AlternateContent>
        <mc:AlternateContent xmlns:mc="http://schemas.openxmlformats.org/markup-compatibility/2006">
          <mc:Choice Requires="x14">
            <control shapeId="11317" r:id="rId55" name="Option Button 53">
              <controlPr defaultSize="0" autoFill="0" autoLine="0" autoPict="0">
                <anchor moveWithCells="1">
                  <from>
                    <xdr:col>1</xdr:col>
                    <xdr:colOff>11430</xdr:colOff>
                    <xdr:row>65</xdr:row>
                    <xdr:rowOff>152400</xdr:rowOff>
                  </from>
                  <to>
                    <xdr:col>1</xdr:col>
                    <xdr:colOff>5878830</xdr:colOff>
                    <xdr:row>67</xdr:row>
                    <xdr:rowOff>30480</xdr:rowOff>
                  </to>
                </anchor>
              </controlPr>
            </control>
          </mc:Choice>
        </mc:AlternateContent>
        <mc:AlternateContent xmlns:mc="http://schemas.openxmlformats.org/markup-compatibility/2006">
          <mc:Choice Requires="x14">
            <control shapeId="11318" r:id="rId56" name="Option Button 54">
              <controlPr defaultSize="0" autoFill="0" autoLine="0" autoPict="0">
                <anchor moveWithCells="1">
                  <from>
                    <xdr:col>1</xdr:col>
                    <xdr:colOff>11430</xdr:colOff>
                    <xdr:row>66</xdr:row>
                    <xdr:rowOff>163830</xdr:rowOff>
                  </from>
                  <to>
                    <xdr:col>1</xdr:col>
                    <xdr:colOff>5875020</xdr:colOff>
                    <xdr:row>68</xdr:row>
                    <xdr:rowOff>45720</xdr:rowOff>
                  </to>
                </anchor>
              </controlPr>
            </control>
          </mc:Choice>
        </mc:AlternateContent>
        <mc:AlternateContent xmlns:mc="http://schemas.openxmlformats.org/markup-compatibility/2006">
          <mc:Choice Requires="x14">
            <control shapeId="11319" r:id="rId57" name="Option Button 55">
              <controlPr defaultSize="0" autoFill="0" autoLine="0" autoPict="0">
                <anchor moveWithCells="1">
                  <from>
                    <xdr:col>1</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11320" r:id="rId58" name="Option Button 56">
              <controlPr defaultSize="0" autoFill="0" autoLine="0" autoPict="0">
                <anchor mov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11321" r:id="rId59" name="Option Button 57">
              <controlPr defaultSize="0" autoFill="0" autoLine="0" autoPict="0">
                <anchor moveWithCells="1">
                  <from>
                    <xdr:col>1</xdr:col>
                    <xdr:colOff>0</xdr:colOff>
                    <xdr:row>18</xdr:row>
                    <xdr:rowOff>0</xdr:rowOff>
                  </from>
                  <to>
                    <xdr:col>1</xdr:col>
                    <xdr:colOff>5715000</xdr:colOff>
                    <xdr:row>18</xdr:row>
                    <xdr:rowOff>476250</xdr:rowOff>
                  </to>
                </anchor>
              </controlPr>
            </control>
          </mc:Choice>
        </mc:AlternateContent>
        <mc:AlternateContent xmlns:mc="http://schemas.openxmlformats.org/markup-compatibility/2006">
          <mc:Choice Requires="x14">
            <control shapeId="11322" r:id="rId60" name="Option Button 58">
              <controlPr defaultSize="0" autoFill="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1323" r:id="rId61" name="Option Button 59">
              <controlPr defaultSize="0" autoFill="0" autoLine="0" autoPict="0">
                <anchor moveWithCells="1">
                  <from>
                    <xdr:col>0</xdr:col>
                    <xdr:colOff>1455420</xdr:colOff>
                    <xdr:row>67</xdr:row>
                    <xdr:rowOff>323850</xdr:rowOff>
                  </from>
                  <to>
                    <xdr:col>1</xdr:col>
                    <xdr:colOff>5532120</xdr:colOff>
                    <xdr:row>68</xdr:row>
                    <xdr:rowOff>354330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FCAEE-2F9C-49F4-8D08-720A720B80E4}">
  <sheetPr codeName="Sheet7"/>
  <dimension ref="A1:CF68"/>
  <sheetViews>
    <sheetView zoomScaleNormal="100" zoomScaleSheetLayoutView="50" workbookViewId="0">
      <pane xSplit="1" ySplit="7" topLeftCell="B8" activePane="bottomRight" state="frozen"/>
      <selection pane="topRight" activeCell="B1" sqref="B1"/>
      <selection pane="bottomLeft" activeCell="A8" sqref="A8"/>
      <selection pane="bottomRight"/>
    </sheetView>
  </sheetViews>
  <sheetFormatPr defaultColWidth="8.68359375" defaultRowHeight="14.1" outlineLevelRow="1"/>
  <cols>
    <col min="1" max="1" width="100.47265625" style="2" customWidth="1"/>
    <col min="2" max="2" width="2.734375" style="2" customWidth="1"/>
    <col min="3" max="3" width="21.68359375" style="2" customWidth="1"/>
    <col min="4" max="4" width="2.734375" style="2" customWidth="1"/>
    <col min="5" max="5" width="21.68359375" style="2" customWidth="1"/>
    <col min="6" max="6" width="2.734375" style="2" customWidth="1"/>
    <col min="7" max="7" width="21.68359375" style="2" customWidth="1"/>
    <col min="8" max="8" width="2.26171875" style="2" customWidth="1"/>
    <col min="9" max="9" width="21.68359375" style="2" customWidth="1"/>
    <col min="10" max="10" width="2.68359375" style="2" customWidth="1"/>
    <col min="11" max="11" width="21.68359375" style="2" customWidth="1"/>
    <col min="12" max="15" width="20.47265625" style="2" customWidth="1"/>
    <col min="16" max="74" width="8.68359375" style="2"/>
    <col min="75" max="75" width="0" style="104" hidden="1" customWidth="1"/>
    <col min="76" max="83" width="8.68359375" style="104" hidden="1" customWidth="1"/>
    <col min="84" max="84" width="0" style="104" hidden="1" customWidth="1"/>
    <col min="85" max="16384" width="8.68359375" style="2"/>
  </cols>
  <sheetData>
    <row r="1" spans="1:83" s="34" customFormat="1" ht="17.399999999999999">
      <c r="A1" s="150" t="s">
        <v>229</v>
      </c>
      <c r="E1"/>
      <c r="I1"/>
    </row>
    <row r="2" spans="1:83" ht="14.5" customHeight="1" thickBot="1">
      <c r="A2" s="151" t="s">
        <v>158</v>
      </c>
    </row>
    <row r="3" spans="1:83" ht="28.2" outlineLevel="1">
      <c r="A3" s="142" t="s">
        <v>219</v>
      </c>
    </row>
    <row r="4" spans="1:83" outlineLevel="1">
      <c r="A4" s="140" t="s">
        <v>207</v>
      </c>
    </row>
    <row r="5" spans="1:83" ht="14.4" outlineLevel="1" thickBot="1">
      <c r="A5" s="113" t="s">
        <v>221</v>
      </c>
    </row>
    <row r="6" spans="1:83" ht="14.4">
      <c r="A6" s="153" t="s">
        <v>227</v>
      </c>
      <c r="B6" s="152"/>
      <c r="C6"/>
    </row>
    <row r="7" spans="1:83" ht="14.4" thickBot="1">
      <c r="C7" s="42" t="str">
        <f>IF('1 Summary Table'!B13="","",'1 Summary Table'!B13)</f>
        <v/>
      </c>
      <c r="E7" s="42" t="str">
        <f>IF('1 Summary Table'!B14="","",'1 Summary Table'!B14)</f>
        <v/>
      </c>
      <c r="G7" s="42" t="str">
        <f>IF('1 Summary Table'!B15="","",'1 Summary Table'!B15)</f>
        <v/>
      </c>
      <c r="I7" s="42" t="str">
        <f>IF('1 Summary Table'!B16="","",'1 Summary Table'!B16)</f>
        <v/>
      </c>
      <c r="K7" s="42" t="str">
        <f>IF('1 Summary Table'!B17="","",'1 Summary Table'!B17)</f>
        <v/>
      </c>
    </row>
    <row r="8" spans="1:83" ht="14.4" thickBot="1">
      <c r="A8" s="30" t="s">
        <v>143</v>
      </c>
      <c r="C8" s="116" t="str">
        <f>IF(BX8=0,"blank",IF(BX8=1,-1,IF(BX8=2,0,IF(BX8=3,1,IF(BX8=4,2)))))</f>
        <v>blank</v>
      </c>
      <c r="E8" s="116" t="str">
        <f>IF(BY8=0,"blank",IF(BY8=1,-1,IF(BY8=2,0,IF(BY8=3,1,IF(BY8=4,2)))))</f>
        <v>blank</v>
      </c>
      <c r="G8" s="116" t="str">
        <f>IF(CA8=0,"blank",IF(CA8=1,-1,IF(CA8=2,0,IF(CA8=3,1,IF(CA8=4,2)))))</f>
        <v>blank</v>
      </c>
      <c r="I8" s="116" t="str">
        <f>IF(CC8=0,"blank",IF(CC8=1,-1,IF(CC8=2,0,IF(CC8=3,1,IF(CC8=4,2)))))</f>
        <v>blank</v>
      </c>
      <c r="K8" s="116" t="str">
        <f>IF(CE8=0,"blank",IF(CE8=1,-1,IF(CE8=2,0,IF(CE8=3,1,IF(CE8=4,2)))))</f>
        <v>blank</v>
      </c>
      <c r="BX8" s="104">
        <v>0</v>
      </c>
      <c r="BY8" s="104">
        <v>0</v>
      </c>
      <c r="CA8" s="104">
        <v>0</v>
      </c>
      <c r="CC8" s="104">
        <v>0</v>
      </c>
      <c r="CE8" s="104">
        <v>0</v>
      </c>
    </row>
    <row r="9" spans="1:83" ht="14.4" thickBot="1">
      <c r="A9" s="129" t="s">
        <v>169</v>
      </c>
      <c r="C9" s="125"/>
      <c r="E9" s="117"/>
      <c r="G9" s="117"/>
      <c r="I9" s="117"/>
      <c r="K9" s="117"/>
    </row>
    <row r="10" spans="1:83" ht="14.4" thickBot="1">
      <c r="A10" s="129" t="s">
        <v>60</v>
      </c>
      <c r="C10" s="125"/>
      <c r="E10" s="117"/>
      <c r="G10" s="117"/>
      <c r="I10" s="117"/>
      <c r="K10" s="117"/>
    </row>
    <row r="11" spans="1:83" ht="14.4" thickBot="1">
      <c r="A11" s="129" t="s">
        <v>61</v>
      </c>
      <c r="C11" s="125"/>
      <c r="E11" s="117"/>
      <c r="G11" s="117"/>
      <c r="I11" s="117"/>
      <c r="K11" s="117"/>
    </row>
    <row r="12" spans="1:83" ht="53.1" thickBot="1">
      <c r="A12" s="129" t="s">
        <v>170</v>
      </c>
      <c r="C12" s="126"/>
      <c r="E12" s="118"/>
      <c r="G12" s="117"/>
      <c r="I12" s="117"/>
      <c r="K12" s="117"/>
    </row>
    <row r="13" spans="1:83" ht="14.4" thickBot="1">
      <c r="A13" s="30" t="s">
        <v>144</v>
      </c>
      <c r="C13" s="116" t="str">
        <f>IF(BX13=0,"blank",IF(BX13=1,-1,IF(BX13=2,0,IF(BX13=3,1,IF(BX13=4,2)))))</f>
        <v>blank</v>
      </c>
      <c r="E13" s="116" t="str">
        <f>IF(BY13=0,"blank",IF(BY13=1,-1,IF(BY13=2,0,IF(BY13=3,1,IF(BY13=4,2)))))</f>
        <v>blank</v>
      </c>
      <c r="G13" s="116" t="str">
        <f>IF(CA13=0,"blank",IF(CA13=1,-1,IF(CA13=2,0,IF(CA13=3,1,IF(CA13=4,2)))))</f>
        <v>blank</v>
      </c>
      <c r="I13" s="116" t="str">
        <f>IF(CC13=0,"blank",IF(CC13=1,-1,IF(CC13=2,0,IF(CC13=3,1,IF(CC13=4,2)))))</f>
        <v>blank</v>
      </c>
      <c r="K13" s="116" t="str">
        <f>IF(CE13=0,"blank",IF(CE13=1,-1,IF(CE13=2,0,IF(CE13=3,1,IF(CE13=4,2)))))</f>
        <v>blank</v>
      </c>
      <c r="BX13" s="104">
        <v>0</v>
      </c>
      <c r="BY13" s="104">
        <v>0</v>
      </c>
      <c r="CA13" s="104">
        <v>0</v>
      </c>
      <c r="CC13" s="104">
        <v>0</v>
      </c>
      <c r="CE13" s="104">
        <v>0</v>
      </c>
    </row>
    <row r="14" spans="1:83" ht="14.4" thickBot="1">
      <c r="A14" s="105" t="s">
        <v>63</v>
      </c>
      <c r="C14" s="125"/>
      <c r="E14" s="117"/>
      <c r="G14" s="124"/>
      <c r="I14" s="124"/>
      <c r="K14" s="124"/>
    </row>
    <row r="15" spans="1:83" ht="14.4" thickBot="1">
      <c r="A15" s="105" t="s">
        <v>64</v>
      </c>
      <c r="C15" s="125"/>
      <c r="E15" s="117"/>
      <c r="G15" s="117"/>
      <c r="I15" s="117"/>
      <c r="K15" s="117"/>
    </row>
    <row r="16" spans="1:83" ht="39.9" thickBot="1">
      <c r="A16" s="105" t="s">
        <v>65</v>
      </c>
      <c r="C16" s="125"/>
      <c r="E16" s="117"/>
      <c r="G16" s="117"/>
      <c r="I16" s="117"/>
      <c r="K16" s="117"/>
    </row>
    <row r="17" spans="1:83" ht="14.4" thickBot="1">
      <c r="A17" s="105" t="s">
        <v>171</v>
      </c>
      <c r="C17" s="126"/>
      <c r="E17" s="118"/>
      <c r="G17" s="118"/>
      <c r="I17" s="118"/>
      <c r="K17" s="118"/>
    </row>
    <row r="18" spans="1:83" ht="14.4" thickBot="1">
      <c r="A18" s="30" t="s">
        <v>145</v>
      </c>
      <c r="C18" s="116" t="str">
        <f>IF(BX18=0,"blank",IF(BX18=1,-1,IF(BX18=2,0,IF(BX18=3,1,IF(BX18=4,2)))))</f>
        <v>blank</v>
      </c>
      <c r="E18" s="116" t="str">
        <f>IF(BY18=0,"blank",IF(BY18=1,-1,IF(BY18=2,0,IF(BY18=3,1,IF(BY18=4,2)))))</f>
        <v>blank</v>
      </c>
      <c r="G18" s="116" t="str">
        <f>IF(CA18=0,"blank",IF(CA18=1,-1,IF(CA18=2,0,IF(CA18=3,1,IF(CA18=4,2)))))</f>
        <v>blank</v>
      </c>
      <c r="I18" s="116" t="str">
        <f>IF(CC18=0,"blank",IF(CC18=1,-1,IF(CC18=2,0,IF(CC18=3,1,IF(CC18=4,2)))))</f>
        <v>blank</v>
      </c>
      <c r="K18" s="116" t="str">
        <f>IF(CE18=0,"blank",IF(CE18=1,-1,IF(CE18=2,0,IF(CE18=3,1,IF(CE18=4,2)))))</f>
        <v>blank</v>
      </c>
      <c r="BX18" s="104">
        <v>0</v>
      </c>
      <c r="BY18" s="104">
        <v>0</v>
      </c>
      <c r="CA18" s="104">
        <v>0</v>
      </c>
      <c r="CC18" s="104">
        <v>0</v>
      </c>
      <c r="CE18" s="104">
        <v>0</v>
      </c>
    </row>
    <row r="19" spans="1:83" ht="14.4" thickBot="1">
      <c r="A19" s="129" t="s">
        <v>71</v>
      </c>
      <c r="C19" s="125"/>
      <c r="E19" s="117"/>
      <c r="G19" s="117"/>
      <c r="I19" s="117"/>
      <c r="K19" s="117"/>
    </row>
    <row r="20" spans="1:83" ht="14.4" thickBot="1">
      <c r="A20" s="129" t="s">
        <v>72</v>
      </c>
      <c r="C20" s="125"/>
      <c r="E20" s="117"/>
      <c r="G20" s="117"/>
      <c r="I20" s="117"/>
      <c r="K20" s="117"/>
    </row>
    <row r="21" spans="1:83" ht="14.4" thickBot="1">
      <c r="A21" s="129" t="s">
        <v>73</v>
      </c>
      <c r="C21" s="125"/>
      <c r="E21" s="117"/>
      <c r="G21" s="117"/>
      <c r="I21" s="117"/>
      <c r="K21" s="117"/>
    </row>
    <row r="22" spans="1:83" ht="14.4" thickBot="1">
      <c r="A22" s="129" t="s">
        <v>172</v>
      </c>
      <c r="C22" s="126"/>
      <c r="E22" s="118"/>
      <c r="G22" s="117"/>
      <c r="I22" s="117"/>
      <c r="K22" s="117"/>
    </row>
    <row r="23" spans="1:83" ht="26.7" thickBot="1">
      <c r="A23" s="30" t="s">
        <v>192</v>
      </c>
      <c r="C23" s="116" t="str">
        <f>IF(BX23=0,"blank",IF(BX23=1,-1,IF(BX23=2,1,IF(BX23=3,2))))</f>
        <v>blank</v>
      </c>
      <c r="E23" s="116" t="str">
        <f>IF(BY23=0,"blank",IF(BY23=1,-1,IF(BY23=2,1,IF(BY23=3,2))))</f>
        <v>blank</v>
      </c>
      <c r="G23" s="116" t="str">
        <f>IF(CA23=0,"blank",IF(CA23=1,-1,IF(CA23=2,1,IF(CA23=3,2))))</f>
        <v>blank</v>
      </c>
      <c r="I23" s="116" t="str">
        <f>IF(CC23=0,"blank",IF(CC23=1,-1,IF(CC23=2,1,IF(CC23=3,2))))</f>
        <v>blank</v>
      </c>
      <c r="K23" s="116" t="str">
        <f>IF(CE23=0,"blank",IF(CE23=1,-1,IF(CE23=2,1,IF(CE23=3,2))))</f>
        <v>blank</v>
      </c>
      <c r="BX23" s="104">
        <v>0</v>
      </c>
      <c r="BY23" s="104">
        <v>0</v>
      </c>
      <c r="CA23" s="104">
        <v>0</v>
      </c>
      <c r="CC23" s="104">
        <v>0</v>
      </c>
      <c r="CE23" s="104">
        <v>0</v>
      </c>
    </row>
    <row r="24" spans="1:83" ht="14.4" thickBot="1">
      <c r="A24" s="105" t="s">
        <v>76</v>
      </c>
      <c r="C24" s="125"/>
      <c r="E24" s="117"/>
      <c r="G24" s="117"/>
      <c r="I24" s="117"/>
      <c r="K24" s="117"/>
    </row>
    <row r="25" spans="1:83" ht="14.4" thickBot="1">
      <c r="A25" s="105" t="s">
        <v>77</v>
      </c>
      <c r="C25" s="125"/>
      <c r="E25" s="117"/>
      <c r="G25" s="117"/>
      <c r="I25" s="117"/>
      <c r="K25" s="117"/>
    </row>
    <row r="26" spans="1:83" ht="14.4" thickBot="1">
      <c r="A26" s="105" t="s">
        <v>78</v>
      </c>
      <c r="C26" s="126"/>
      <c r="E26" s="118"/>
      <c r="G26" s="117"/>
      <c r="I26" s="117"/>
      <c r="K26" s="117"/>
    </row>
    <row r="27" spans="1:83" ht="26.7" thickBot="1">
      <c r="A27" s="18" t="s">
        <v>193</v>
      </c>
      <c r="C27" s="116" t="str">
        <f>IF(BX27=0,"blank",IF(BX27=1,-1,IF(BX27=2,1,IF(BX27=3,2))))</f>
        <v>blank</v>
      </c>
      <c r="E27" s="116" t="str">
        <f>IF(BY27=0,"blank",IF(BY27=1,-1,IF(BY27=2,1,IF(BY27=3,2))))</f>
        <v>blank</v>
      </c>
      <c r="G27" s="116" t="str">
        <f>IF(CA27=0,"blank",IF(CA27=1,-1,IF(CA27=2,1,IF(CA27=3,2))))</f>
        <v>blank</v>
      </c>
      <c r="I27" s="116" t="str">
        <f>IF(CC27=0,"blank",IF(CC27=1,-1,IF(CC27=2,1,IF(CC27=3,2))))</f>
        <v>blank</v>
      </c>
      <c r="K27" s="116" t="str">
        <f>IF(CE27=0,"blank",IF(CE27=1,-1,IF(CE27=2,1,IF(CE27=3,2))))</f>
        <v>blank</v>
      </c>
      <c r="BX27" s="104">
        <v>0</v>
      </c>
      <c r="BY27" s="104">
        <v>0</v>
      </c>
      <c r="CA27" s="104">
        <v>0</v>
      </c>
      <c r="CC27" s="104">
        <v>0</v>
      </c>
      <c r="CE27" s="104">
        <v>0</v>
      </c>
    </row>
    <row r="28" spans="1:83" ht="14.4" thickBot="1">
      <c r="A28" s="129" t="s">
        <v>80</v>
      </c>
      <c r="C28" s="125"/>
      <c r="E28" s="117"/>
      <c r="G28" s="117"/>
      <c r="I28" s="117"/>
      <c r="K28" s="117"/>
      <c r="CA28" s="104">
        <v>1</v>
      </c>
    </row>
    <row r="29" spans="1:83" ht="14.4" thickBot="1">
      <c r="A29" s="129" t="s">
        <v>81</v>
      </c>
      <c r="C29" s="125"/>
      <c r="E29" s="117"/>
      <c r="G29" s="117"/>
      <c r="I29" s="117"/>
      <c r="K29" s="117"/>
    </row>
    <row r="30" spans="1:83" ht="14.4" thickBot="1">
      <c r="A30" s="129" t="s">
        <v>82</v>
      </c>
      <c r="C30" s="126"/>
      <c r="E30" s="118"/>
      <c r="G30" s="117"/>
      <c r="I30" s="117"/>
      <c r="K30" s="117"/>
    </row>
    <row r="31" spans="1:83" ht="14.4" thickBot="1">
      <c r="A31" s="30" t="s">
        <v>148</v>
      </c>
      <c r="C31" s="116" t="str">
        <f>IF(BX31=0,"blank",IF(BX31=1,-1,IF(BX31=2,0,IF(BX31=3,1,IF(BX31=4,2,IF(BX31=5,3))))))</f>
        <v>blank</v>
      </c>
      <c r="E31" s="116" t="str">
        <f>IF(BY31=0,"blank",IF(BY31=1,-1,IF(BY31=2,0,IF(BY31=3,1,IF(BY31=4,2,IF(BY31=5,3))))))</f>
        <v>blank</v>
      </c>
      <c r="G31" s="116" t="str">
        <f>IF(CA31=0,"blank",IF(CA31=1,-1,IF(CA31=2,0,IF(CA31=3,1,IF(CA31=4,2,IF(CA31=5,3))))))</f>
        <v>blank</v>
      </c>
      <c r="I31" s="116" t="str">
        <f>IF(CC31=0,"blank",IF(CC31=1,-1,IF(CC31=2,0,IF(CC31=3,1,IF(CC31=4,2,IF(CC31=5,3))))))</f>
        <v>blank</v>
      </c>
      <c r="K31" s="116" t="str">
        <f>IF(CE31=0,"blank",IF(CE31=1,-1,IF(CE31=2,0,IF(CE31=3,1,IF(CE31=4,2,IF(CE31=5,3))))))</f>
        <v>blank</v>
      </c>
      <c r="BX31" s="104">
        <v>0</v>
      </c>
      <c r="BY31" s="104">
        <v>0</v>
      </c>
      <c r="CA31" s="104">
        <v>0</v>
      </c>
      <c r="CC31" s="104">
        <v>0</v>
      </c>
      <c r="CE31" s="104">
        <v>0</v>
      </c>
    </row>
    <row r="32" spans="1:83" ht="26.7" thickBot="1">
      <c r="A32" s="105" t="s">
        <v>85</v>
      </c>
      <c r="C32" s="125"/>
      <c r="E32" s="117"/>
      <c r="G32" s="117"/>
      <c r="I32" s="117"/>
      <c r="K32" s="117"/>
    </row>
    <row r="33" spans="1:83" ht="39.9" thickBot="1">
      <c r="A33" s="105" t="s">
        <v>86</v>
      </c>
      <c r="C33" s="125"/>
      <c r="E33" s="117"/>
      <c r="G33" s="117"/>
      <c r="I33" s="117"/>
      <c r="K33" s="117"/>
    </row>
    <row r="34" spans="1:83" ht="39.9" thickBot="1">
      <c r="A34" s="105" t="s">
        <v>87</v>
      </c>
      <c r="C34" s="125"/>
      <c r="E34" s="117"/>
      <c r="G34" s="117"/>
      <c r="I34" s="117"/>
      <c r="K34" s="117"/>
    </row>
    <row r="35" spans="1:83" ht="26.7" thickBot="1">
      <c r="A35" s="105" t="s">
        <v>88</v>
      </c>
      <c r="C35" s="125"/>
      <c r="E35" s="117"/>
      <c r="G35" s="117"/>
      <c r="I35" s="117"/>
      <c r="K35" s="117"/>
    </row>
    <row r="36" spans="1:83" ht="26.7" thickBot="1">
      <c r="A36" s="105" t="s">
        <v>89</v>
      </c>
      <c r="C36" s="125"/>
      <c r="E36" s="118"/>
      <c r="G36" s="117"/>
      <c r="I36" s="117"/>
      <c r="K36" s="117"/>
    </row>
    <row r="37" spans="1:83" ht="14.4" thickBot="1">
      <c r="A37" s="30" t="s">
        <v>194</v>
      </c>
      <c r="C37" s="116" t="str">
        <f>IF(BX37=0,"blank",IF(BX37=1,-1,IF(BX37=2,1,IF(BX37=3,2))))</f>
        <v>blank</v>
      </c>
      <c r="E37" s="116" t="str">
        <f>IF(BY37=0,"blank",IF(BY37=1,-1,IF(BY37=2,1,IF(BY37=3,2))))</f>
        <v>blank</v>
      </c>
      <c r="G37" s="116" t="str">
        <f>IF(CA37=0,"blank",IF(CA37=1,-1,IF(CA37=2,1,IF(CA37=3,2))))</f>
        <v>blank</v>
      </c>
      <c r="I37" s="116" t="str">
        <f>IF(CC37=0,"blank",IF(CC37=1,-1,IF(CC37=2,1,IF(CC37=3,2))))</f>
        <v>blank</v>
      </c>
      <c r="K37" s="116" t="str">
        <f>IF(CE37=0,"blank",IF(CE37=1,-1,IF(CE37=2,1,IF(CE37=3,2))))</f>
        <v>blank</v>
      </c>
      <c r="BX37" s="104">
        <v>0</v>
      </c>
      <c r="BY37" s="104">
        <v>0</v>
      </c>
      <c r="CA37" s="104">
        <v>0</v>
      </c>
      <c r="CC37" s="104">
        <v>0</v>
      </c>
      <c r="CE37" s="104">
        <v>0</v>
      </c>
    </row>
    <row r="38" spans="1:83" ht="14.4" thickBot="1">
      <c r="A38" s="105" t="s">
        <v>173</v>
      </c>
      <c r="C38" s="125"/>
      <c r="E38" s="117"/>
      <c r="G38" s="117"/>
      <c r="I38" s="117"/>
      <c r="K38" s="117"/>
    </row>
    <row r="39" spans="1:83" ht="14.4" thickBot="1">
      <c r="A39" s="105" t="s">
        <v>174</v>
      </c>
      <c r="C39" s="125"/>
      <c r="E39" s="117"/>
      <c r="G39" s="117"/>
      <c r="I39" s="117"/>
      <c r="K39" s="117"/>
    </row>
    <row r="40" spans="1:83" ht="14.4" thickBot="1">
      <c r="A40" s="105" t="s">
        <v>175</v>
      </c>
      <c r="C40" s="125"/>
      <c r="E40" s="118"/>
      <c r="G40" s="117"/>
      <c r="I40" s="117"/>
      <c r="K40" s="117"/>
    </row>
    <row r="41" spans="1:83" ht="26.7" thickBot="1">
      <c r="A41" s="18" t="s">
        <v>195</v>
      </c>
      <c r="C41" s="116" t="str">
        <f>IF(BX41=0,"blank",IF(BX41=1,-1,IF(BX41=2,0,IF(BX41=3,1,IF(BX41=4,2)))))</f>
        <v>blank</v>
      </c>
      <c r="E41" s="116" t="str">
        <f>IF(BY41=0,"blank",IF(BY41=1,-1,IF(BY41=2,0,IF(BY41=3,1,IF(BY41=4,2)))))</f>
        <v>blank</v>
      </c>
      <c r="G41" s="116" t="str">
        <f>IF(CA41=0,"blank",IF(CA41=1,-1,IF(CA41=2,0,IF(CA41=3,1,IF(CA41=4,2)))))</f>
        <v>blank</v>
      </c>
      <c r="I41" s="116" t="str">
        <f>IF(CC41=0,"blank",IF(CC41=1,-1,IF(CC41=2,0,IF(CC41=3,1,IF(CC41=4,2)))))</f>
        <v>blank</v>
      </c>
      <c r="K41" s="116" t="str">
        <f>IF(CE41=0,"blank",IF(CE41=1,-1,IF(CE41=2,0,IF(CE41=3,1,IF(CE41=4,2)))))</f>
        <v>blank</v>
      </c>
      <c r="BX41" s="104">
        <v>0</v>
      </c>
      <c r="BY41" s="104">
        <v>0</v>
      </c>
      <c r="CA41" s="104">
        <v>0</v>
      </c>
      <c r="CC41" s="104">
        <v>0</v>
      </c>
      <c r="CE41" s="104">
        <v>0</v>
      </c>
    </row>
    <row r="42" spans="1:83" ht="14.4" thickBot="1">
      <c r="A42" s="129" t="s">
        <v>176</v>
      </c>
      <c r="C42" s="125"/>
      <c r="E42" s="117"/>
      <c r="G42" s="117"/>
      <c r="I42" s="117"/>
      <c r="K42" s="117"/>
    </row>
    <row r="43" spans="1:83" ht="14.4" thickBot="1">
      <c r="A43" s="129" t="s">
        <v>177</v>
      </c>
      <c r="C43" s="125"/>
      <c r="E43" s="117"/>
      <c r="G43" s="117"/>
      <c r="I43" s="117"/>
      <c r="K43" s="117"/>
    </row>
    <row r="44" spans="1:83" ht="14.4" thickBot="1">
      <c r="A44" s="129" t="s">
        <v>178</v>
      </c>
      <c r="C44" s="125"/>
      <c r="E44" s="117"/>
      <c r="G44" s="117"/>
      <c r="I44" s="117"/>
      <c r="K44" s="117"/>
    </row>
    <row r="45" spans="1:83" ht="14.4" thickBot="1">
      <c r="A45" s="129" t="s">
        <v>179</v>
      </c>
      <c r="C45" s="125"/>
      <c r="E45" s="118"/>
      <c r="G45" s="117"/>
      <c r="I45" s="117"/>
      <c r="K45" s="117"/>
    </row>
    <row r="46" spans="1:83" ht="14.4" thickBot="1">
      <c r="A46" s="30" t="s">
        <v>150</v>
      </c>
      <c r="C46" s="116" t="str">
        <f>IF(BX46=0,"blank",IF(BX46=1,-1,IF(BX46=2,-1,IF(BX46=3,1))))</f>
        <v>blank</v>
      </c>
      <c r="E46" s="116" t="str">
        <f>IF(BY46=0,"blank",IF(BY46=1,-1,IF(BY46=2,-1,IF(BY46=3,1))))</f>
        <v>blank</v>
      </c>
      <c r="G46" s="116" t="str">
        <f>IF(CA46=0,"blank",IF(CA46=1,-1,IF(CA46=2,-1,IF(CA46=3,1))))</f>
        <v>blank</v>
      </c>
      <c r="I46" s="116" t="str">
        <f>IF(CC46=0,"blank",IF(CC46=1,-1,IF(CC46=2,-1,IF(CC46=3,1))))</f>
        <v>blank</v>
      </c>
      <c r="K46" s="116" t="str">
        <f>IF(CE46=0,"blank",IF(CE46=1,-1,IF(CE46=2,-1,IF(CE46=3,1))))</f>
        <v>blank</v>
      </c>
      <c r="BX46" s="104">
        <v>0</v>
      </c>
      <c r="BY46" s="104">
        <v>0</v>
      </c>
      <c r="CA46" s="104">
        <v>0</v>
      </c>
      <c r="CC46" s="104">
        <v>0</v>
      </c>
      <c r="CE46" s="104">
        <v>0</v>
      </c>
    </row>
    <row r="47" spans="1:83" ht="14.4" thickBot="1">
      <c r="A47" s="97" t="s">
        <v>180</v>
      </c>
      <c r="C47" s="125"/>
      <c r="E47" s="117"/>
      <c r="G47" s="117"/>
      <c r="I47" s="117"/>
      <c r="K47" s="117"/>
    </row>
    <row r="48" spans="1:83" ht="14.4" thickBot="1">
      <c r="A48" s="105" t="s">
        <v>181</v>
      </c>
      <c r="C48" s="125"/>
      <c r="E48" s="117"/>
      <c r="G48" s="117"/>
      <c r="I48" s="117"/>
      <c r="K48" s="117"/>
    </row>
    <row r="49" spans="1:83" ht="14.4" thickBot="1">
      <c r="A49" s="105" t="s">
        <v>182</v>
      </c>
      <c r="C49" s="126"/>
      <c r="E49" s="118"/>
      <c r="G49" s="117"/>
      <c r="I49" s="117"/>
      <c r="K49" s="117"/>
    </row>
    <row r="50" spans="1:83" ht="26.7" thickBot="1">
      <c r="A50" s="30" t="s">
        <v>151</v>
      </c>
      <c r="C50" s="116"/>
      <c r="E50" s="119"/>
      <c r="G50" s="119"/>
      <c r="I50" s="119"/>
      <c r="K50" s="119"/>
    </row>
    <row r="51" spans="1:83" ht="14.4" thickBot="1">
      <c r="A51" s="114" t="s">
        <v>196</v>
      </c>
      <c r="C51" s="120" t="str">
        <f>IF(BX51=0,"blank",IF(BX51=1,-1,IF(BX51=2,0)))</f>
        <v>blank</v>
      </c>
      <c r="E51" s="120" t="str">
        <f>IF(BY51=0,"blank",IF(BY51=1,-1,IF(BY51=2,0)))</f>
        <v>blank</v>
      </c>
      <c r="G51" s="120" t="str">
        <f>IF(CA51=0,"blank",IF(CA51=1,-1,IF(CA51=2,0)))</f>
        <v>blank</v>
      </c>
      <c r="I51" s="120" t="str">
        <f>IF(CC51=0,"blank",IF(CC51=1,-1,IF(CC51=2,0)))</f>
        <v>blank</v>
      </c>
      <c r="K51" s="120" t="str">
        <f>IF(CE51=0,"blank",IF(CE51=1,-1,IF(CE51=2,0)))</f>
        <v>blank</v>
      </c>
      <c r="BX51" s="104">
        <v>0</v>
      </c>
      <c r="BY51" s="104">
        <v>0</v>
      </c>
      <c r="CA51" s="104">
        <v>0</v>
      </c>
      <c r="CC51" s="104">
        <v>0</v>
      </c>
      <c r="CE51" s="104">
        <v>0</v>
      </c>
    </row>
    <row r="52" spans="1:83" ht="15.6" thickBot="1">
      <c r="A52" s="105" t="s">
        <v>183</v>
      </c>
      <c r="C52" s="127"/>
      <c r="E52" s="117"/>
      <c r="G52" s="117"/>
      <c r="I52" s="117"/>
      <c r="K52" s="117"/>
    </row>
    <row r="53" spans="1:83" ht="15.6" thickBot="1">
      <c r="A53" s="105" t="s">
        <v>184</v>
      </c>
      <c r="C53" s="128"/>
      <c r="E53" s="118"/>
      <c r="G53" s="117"/>
      <c r="I53" s="117"/>
      <c r="K53" s="117"/>
    </row>
    <row r="54" spans="1:83" ht="14.4" thickBot="1">
      <c r="A54" s="115" t="s">
        <v>197</v>
      </c>
      <c r="C54" s="120" t="str">
        <f>IF(BX54=0,"blank",IF(BX54=1,1,IF(BX54=2,3,IF(BX54=3,5,IF(BX54=4,6)))))</f>
        <v>blank</v>
      </c>
      <c r="E54" s="120" t="str">
        <f>IF(BY54=0,"blank",IF(BY54=1,1,IF(BY54=2,3,IF(BY54=3,5,IF(BY54=4,6)))))</f>
        <v>blank</v>
      </c>
      <c r="G54" s="120" t="str">
        <f>IF(CA54=0,"blank",IF(CA54=1,1,IF(CA54=2,3,IF(CA54=3,5,IF(CA54=4,6)))))</f>
        <v>blank</v>
      </c>
      <c r="I54" s="120" t="str">
        <f>IF(CC54=0,"blank",IF(CC54=1,1,IF(CC54=2,3,IF(CC54=3,5,IF(CC54=4,6)))))</f>
        <v>blank</v>
      </c>
      <c r="K54" s="120" t="str">
        <f>IF(CE54=0,"blank",IF(CE54=1,1,IF(CE54=2,3,IF(CE54=3,5,IF(CE54=4,6)))))</f>
        <v>blank</v>
      </c>
      <c r="BX54" s="104">
        <v>0</v>
      </c>
      <c r="BY54" s="104">
        <v>0</v>
      </c>
      <c r="CA54" s="104">
        <v>0</v>
      </c>
      <c r="CC54" s="104">
        <v>0</v>
      </c>
      <c r="CE54" s="104">
        <v>0</v>
      </c>
    </row>
    <row r="55" spans="1:83" ht="66.3" thickBot="1">
      <c r="A55" s="105" t="s">
        <v>209</v>
      </c>
      <c r="C55" s="127"/>
      <c r="E55" s="117"/>
      <c r="G55" s="117"/>
      <c r="I55" s="117"/>
      <c r="K55" s="117"/>
    </row>
    <row r="56" spans="1:83" ht="39.9" thickBot="1">
      <c r="A56" s="105" t="s">
        <v>185</v>
      </c>
      <c r="C56" s="127"/>
      <c r="E56" s="117"/>
      <c r="G56" s="117"/>
      <c r="I56" s="117"/>
      <c r="K56" s="117"/>
    </row>
    <row r="57" spans="1:83" ht="26.7" thickBot="1">
      <c r="A57" s="105" t="s">
        <v>186</v>
      </c>
      <c r="C57" s="127"/>
      <c r="E57" s="117"/>
      <c r="G57" s="117"/>
      <c r="I57" s="117"/>
      <c r="K57" s="117"/>
    </row>
    <row r="58" spans="1:83" ht="15.6" thickBot="1">
      <c r="A58" s="105" t="s">
        <v>187</v>
      </c>
      <c r="C58" s="128"/>
      <c r="E58" s="118"/>
      <c r="G58" s="117"/>
      <c r="I58" s="117"/>
      <c r="K58" s="117"/>
    </row>
    <row r="59" spans="1:83" ht="39.9" thickBot="1">
      <c r="A59" s="115" t="s">
        <v>198</v>
      </c>
      <c r="C59" s="120" t="str">
        <f>IF(BX59=0,"blank",IF(BX59=1,0,IF(BX59=2,1)))</f>
        <v>blank</v>
      </c>
      <c r="E59" s="120" t="str">
        <f>IF(BY59=0,"blank",IF(BY59=1,0,IF(BY59=2,1)))</f>
        <v>blank</v>
      </c>
      <c r="G59" s="120" t="str">
        <f>IF(CA59=0,"blank",IF(CA59=1,0,IF(CA59=2,1)))</f>
        <v>blank</v>
      </c>
      <c r="I59" s="120" t="str">
        <f>IF(CC59=0,"blank",IF(CC59=1,0,IF(CC59=2,1)))</f>
        <v>blank</v>
      </c>
      <c r="K59" s="120" t="str">
        <f>IF(CE59=0,"blank",IF(CE59=1,0,IF(CE59=2,1)))</f>
        <v>blank</v>
      </c>
      <c r="BX59" s="104">
        <v>0</v>
      </c>
      <c r="BY59" s="104">
        <v>0</v>
      </c>
      <c r="CA59" s="104">
        <v>0</v>
      </c>
      <c r="CC59" s="104">
        <v>0</v>
      </c>
      <c r="CE59" s="104">
        <v>0</v>
      </c>
    </row>
    <row r="60" spans="1:83" ht="15.6" thickBot="1">
      <c r="A60" s="105" t="s">
        <v>188</v>
      </c>
      <c r="C60" s="127"/>
      <c r="E60" s="117"/>
      <c r="G60" s="117"/>
      <c r="I60" s="117"/>
      <c r="K60" s="117"/>
    </row>
    <row r="61" spans="1:83" ht="39.9" thickBot="1">
      <c r="A61" s="105" t="s">
        <v>233</v>
      </c>
      <c r="C61" s="128"/>
      <c r="E61" s="118"/>
      <c r="G61" s="117"/>
      <c r="I61" s="117"/>
      <c r="K61" s="117"/>
    </row>
    <row r="62" spans="1:83" ht="14.4" thickBot="1">
      <c r="A62" s="30" t="s">
        <v>199</v>
      </c>
      <c r="C62" s="116" t="str">
        <f>IF(BX62=0,"blank",IF(BX62=1,0,IF(BX62=2,1,IF(BX62=3,2))))</f>
        <v>blank</v>
      </c>
      <c r="E62" s="116" t="str">
        <f>IF(BY62=0,"blank",IF(BY62=1,0,IF(BY62=2,1,IF(BY62=3,2))))</f>
        <v>blank</v>
      </c>
      <c r="G62" s="116" t="str">
        <f>IF(CA62=0,"blank",IF(CA62=1,0,IF(CA62=2,1,IF(CA62=3,2))))</f>
        <v>blank</v>
      </c>
      <c r="I62" s="116" t="str">
        <f>IF(CC62=0,"blank",IF(CC62=1,0,IF(CC62=2,1,IF(CC62=3,2))))</f>
        <v>blank</v>
      </c>
      <c r="K62" s="116" t="str">
        <f>IF(CE62=0,"blank",IF(CE62=1,0,IF(CE62=2,1,IF(CE62=3,2))))</f>
        <v>blank</v>
      </c>
      <c r="BX62" s="104">
        <v>0</v>
      </c>
      <c r="BY62" s="104">
        <v>0</v>
      </c>
      <c r="CA62" s="104">
        <v>0</v>
      </c>
      <c r="CC62" s="104">
        <v>0</v>
      </c>
      <c r="CE62" s="104">
        <v>0</v>
      </c>
    </row>
    <row r="63" spans="1:83" ht="14.4" thickBot="1">
      <c r="A63" s="97" t="s">
        <v>189</v>
      </c>
      <c r="C63" s="117"/>
      <c r="E63" s="117"/>
      <c r="G63" s="117"/>
      <c r="I63" s="117"/>
      <c r="K63" s="117"/>
    </row>
    <row r="64" spans="1:83" ht="26.7" thickBot="1">
      <c r="A64" s="105" t="s">
        <v>190</v>
      </c>
      <c r="C64" s="117"/>
      <c r="E64" s="117"/>
      <c r="G64" s="117"/>
      <c r="I64" s="117"/>
      <c r="K64" s="117"/>
    </row>
    <row r="65" spans="1:11" ht="26.7" thickBot="1">
      <c r="A65" s="105" t="s">
        <v>191</v>
      </c>
      <c r="C65" s="118"/>
      <c r="E65" s="118"/>
      <c r="G65" s="118"/>
      <c r="I65" s="118"/>
      <c r="K65" s="118"/>
    </row>
    <row r="66" spans="1:11">
      <c r="A66" s="108" t="s">
        <v>111</v>
      </c>
      <c r="C66" s="121">
        <f>SUMPRODUCT(--(ISNUMBER(C8:C65)),C8:C65)</f>
        <v>0</v>
      </c>
      <c r="E66" s="112">
        <f>SUMPRODUCT(--(ISNUMBER(E8:E65)),E8:E65)</f>
        <v>0</v>
      </c>
      <c r="G66" s="123">
        <f>SUMPRODUCT(--(ISNUMBER(G8:G65)),G8:G65)</f>
        <v>0</v>
      </c>
      <c r="I66" s="123">
        <f>SUMPRODUCT(--(ISNUMBER(I8:I65)),I8:I65)</f>
        <v>0</v>
      </c>
      <c r="K66" s="123">
        <f>SUMPRODUCT(--(ISNUMBER(K8:K65)),K8:K65)</f>
        <v>0</v>
      </c>
    </row>
    <row r="67" spans="1:11">
      <c r="A67" s="108" t="s">
        <v>201</v>
      </c>
      <c r="C67" s="122" t="str">
        <f>IF(C66=0,"",IF(C66&lt;10,0.2,IF(C66&lt;20,0.6,IF(C66&lt;=27,1,))))</f>
        <v/>
      </c>
      <c r="E67" s="122" t="str">
        <f>IF(E66=0,"",IF(E66&lt;10,0.2,IF(E66&lt;20,0.6,IF(E66&lt;=27,1,))))</f>
        <v/>
      </c>
      <c r="G67" s="122" t="str">
        <f>IF(G66=0,"",IF(G66&lt;10,0.2,IF(G66&lt;20,0.6,IF(G66&lt;=27,1,))))</f>
        <v/>
      </c>
      <c r="I67" s="122" t="str">
        <f>IF(I66=0,"",IF(I66&lt;10,0.2,IF(I66&lt;20,0.6,IF(I66&lt;=27,1,))))</f>
        <v/>
      </c>
      <c r="K67" s="122" t="str">
        <f>IF(K66=0,"",IF(K66&lt;10,0.2,IF(K66&lt;20,0.6,IF(K66&lt;=27,1,))))</f>
        <v/>
      </c>
    </row>
    <row r="68" spans="1:11">
      <c r="A68" s="108" t="s">
        <v>200</v>
      </c>
      <c r="C68" s="123" t="str">
        <f>IF(C67&lt;=0.2,"Low Credibility",IF(C67&lt;=0.6,"Moderate Credibility",IF(C67&lt;=1,"High Credibility",IF(C67="",""))))</f>
        <v/>
      </c>
      <c r="E68" s="2" t="str">
        <f>IF(E67&lt;=0.2,"Low Credibility",IF(E67&lt;=0.6,"Moderate Credibility",IF(E67&lt;=1,"High Credibility",IF(E67="",""))))</f>
        <v/>
      </c>
      <c r="G68" s="2" t="str">
        <f>IF(G67&lt;=0.2,"Low Credibility",IF(G67&lt;=0.6,"Moderate Credibility",IF(G67&lt;=1,"High Credibility",IF(G67="",""))))</f>
        <v/>
      </c>
      <c r="I68" s="2" t="str">
        <f>IF(I67&lt;=0.2,"Low Credibility",IF(I67&lt;=0.6,"Moderate Credibility",IF(I67&lt;=1,"High Credibility",IF(I67="",""))))</f>
        <v/>
      </c>
      <c r="K68" s="2" t="str">
        <f>IF(K67&lt;=0.2,"Low Credibility",IF(K67&lt;=0.6,"Moderate Credibility",IF(K67&lt;=1,"High Credibility",IF(K67="",""))))</f>
        <v/>
      </c>
    </row>
  </sheetData>
  <sheetProtection algorithmName="SHA-512" hashValue="owIOikk/5e3q5oo3Nu/IYNPb2+Jzvr5YQfZLfu4wzsRy219jGfAkCod3DJWryAtv14dgNswVFQ/j4MqcCchDsg==" saltValue="XzbPfotmYumyG8W7uXILkA==" spinCount="100000" sheet="1" objects="1" scenarios="1"/>
  <phoneticPr fontId="2" type="noConversion"/>
  <hyperlinks>
    <hyperlink ref="A6" r:id="rId1" xr:uid="{56F90138-9AFF-48E8-A801-1F8518A9C69E}"/>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0" r:id="rId5" name="Group Box 6">
              <controlPr defaultSize="0" autoFill="0" autoPict="0">
                <anchor moveWithCells="1">
                  <from>
                    <xdr:col>2</xdr:col>
                    <xdr:colOff>7620</xdr:colOff>
                    <xdr:row>6</xdr:row>
                    <xdr:rowOff>144780</xdr:rowOff>
                  </from>
                  <to>
                    <xdr:col>2</xdr:col>
                    <xdr:colOff>971550</xdr:colOff>
                    <xdr:row>12</xdr:row>
                    <xdr:rowOff>68580</xdr:rowOff>
                  </to>
                </anchor>
              </controlPr>
            </control>
          </mc:Choice>
        </mc:AlternateContent>
        <mc:AlternateContent xmlns:mc="http://schemas.openxmlformats.org/markup-compatibility/2006">
          <mc:Choice Requires="x14">
            <control shapeId="16391" r:id="rId6" name="Option Button 7">
              <controlPr defaultSize="0" autoFill="0" autoLine="0" autoPict="0">
                <anchor moveWithCells="1">
                  <from>
                    <xdr:col>2</xdr:col>
                    <xdr:colOff>678180</xdr:colOff>
                    <xdr:row>8</xdr:row>
                    <xdr:rowOff>0</xdr:rowOff>
                  </from>
                  <to>
                    <xdr:col>2</xdr:col>
                    <xdr:colOff>906780</xdr:colOff>
                    <xdr:row>9</xdr:row>
                    <xdr:rowOff>0</xdr:rowOff>
                  </to>
                </anchor>
              </controlPr>
            </control>
          </mc:Choice>
        </mc:AlternateContent>
        <mc:AlternateContent xmlns:mc="http://schemas.openxmlformats.org/markup-compatibility/2006">
          <mc:Choice Requires="x14">
            <control shapeId="16392" r:id="rId7" name="Option Button 8">
              <controlPr defaultSize="0" autoFill="0" autoLine="0" autoPict="0">
                <anchor moveWithCells="1">
                  <from>
                    <xdr:col>2</xdr:col>
                    <xdr:colOff>685800</xdr:colOff>
                    <xdr:row>9</xdr:row>
                    <xdr:rowOff>0</xdr:rowOff>
                  </from>
                  <to>
                    <xdr:col>2</xdr:col>
                    <xdr:colOff>906780</xdr:colOff>
                    <xdr:row>10</xdr:row>
                    <xdr:rowOff>0</xdr:rowOff>
                  </to>
                </anchor>
              </controlPr>
            </control>
          </mc:Choice>
        </mc:AlternateContent>
        <mc:AlternateContent xmlns:mc="http://schemas.openxmlformats.org/markup-compatibility/2006">
          <mc:Choice Requires="x14">
            <control shapeId="16393" r:id="rId8" name="Option Button 9">
              <controlPr defaultSize="0" autoFill="0" autoLine="0" autoPict="0">
                <anchor moveWithCells="1">
                  <from>
                    <xdr:col>2</xdr:col>
                    <xdr:colOff>685800</xdr:colOff>
                    <xdr:row>10</xdr:row>
                    <xdr:rowOff>0</xdr:rowOff>
                  </from>
                  <to>
                    <xdr:col>2</xdr:col>
                    <xdr:colOff>906780</xdr:colOff>
                    <xdr:row>11</xdr:row>
                    <xdr:rowOff>0</xdr:rowOff>
                  </to>
                </anchor>
              </controlPr>
            </control>
          </mc:Choice>
        </mc:AlternateContent>
        <mc:AlternateContent xmlns:mc="http://schemas.openxmlformats.org/markup-compatibility/2006">
          <mc:Choice Requires="x14">
            <control shapeId="16394" r:id="rId9" name="Option Button 10">
              <controlPr defaultSize="0" autoFill="0" autoLine="0" autoPict="0">
                <anchor moveWithCells="1">
                  <from>
                    <xdr:col>2</xdr:col>
                    <xdr:colOff>678180</xdr:colOff>
                    <xdr:row>11</xdr:row>
                    <xdr:rowOff>236220</xdr:rowOff>
                  </from>
                  <to>
                    <xdr:col>2</xdr:col>
                    <xdr:colOff>906780</xdr:colOff>
                    <xdr:row>11</xdr:row>
                    <xdr:rowOff>430530</xdr:rowOff>
                  </to>
                </anchor>
              </controlPr>
            </control>
          </mc:Choice>
        </mc:AlternateContent>
        <mc:AlternateContent xmlns:mc="http://schemas.openxmlformats.org/markup-compatibility/2006">
          <mc:Choice Requires="x14">
            <control shapeId="16399" r:id="rId10" name="Group Box 15">
              <controlPr defaultSize="0" autoFill="0" autoPict="0">
                <anchor moveWithCells="1">
                  <from>
                    <xdr:col>2</xdr:col>
                    <xdr:colOff>19050</xdr:colOff>
                    <xdr:row>12</xdr:row>
                    <xdr:rowOff>144780</xdr:rowOff>
                  </from>
                  <to>
                    <xdr:col>3</xdr:col>
                    <xdr:colOff>0</xdr:colOff>
                    <xdr:row>17</xdr:row>
                    <xdr:rowOff>68580</xdr:rowOff>
                  </to>
                </anchor>
              </controlPr>
            </control>
          </mc:Choice>
        </mc:AlternateContent>
        <mc:AlternateContent xmlns:mc="http://schemas.openxmlformats.org/markup-compatibility/2006">
          <mc:Choice Requires="x14">
            <control shapeId="16400" r:id="rId11" name="Option Button 16">
              <controlPr defaultSize="0" autoFill="0" autoLine="0" autoPict="0">
                <anchor moveWithCells="1">
                  <from>
                    <xdr:col>2</xdr:col>
                    <xdr:colOff>674370</xdr:colOff>
                    <xdr:row>13</xdr:row>
                    <xdr:rowOff>0</xdr:rowOff>
                  </from>
                  <to>
                    <xdr:col>2</xdr:col>
                    <xdr:colOff>906780</xdr:colOff>
                    <xdr:row>14</xdr:row>
                    <xdr:rowOff>0</xdr:rowOff>
                  </to>
                </anchor>
              </controlPr>
            </control>
          </mc:Choice>
        </mc:AlternateContent>
        <mc:AlternateContent xmlns:mc="http://schemas.openxmlformats.org/markup-compatibility/2006">
          <mc:Choice Requires="x14">
            <control shapeId="16401" r:id="rId12" name="Option Button 17">
              <controlPr defaultSize="0" autoFill="0" autoLine="0" autoPict="0">
                <anchor moveWithCells="1">
                  <from>
                    <xdr:col>2</xdr:col>
                    <xdr:colOff>674370</xdr:colOff>
                    <xdr:row>14</xdr:row>
                    <xdr:rowOff>11430</xdr:rowOff>
                  </from>
                  <to>
                    <xdr:col>2</xdr:col>
                    <xdr:colOff>906780</xdr:colOff>
                    <xdr:row>15</xdr:row>
                    <xdr:rowOff>0</xdr:rowOff>
                  </to>
                </anchor>
              </controlPr>
            </control>
          </mc:Choice>
        </mc:AlternateContent>
        <mc:AlternateContent xmlns:mc="http://schemas.openxmlformats.org/markup-compatibility/2006">
          <mc:Choice Requires="x14">
            <control shapeId="16406" r:id="rId13" name="Group Box 22">
              <controlPr defaultSize="0" autoFill="0" autoPict="0">
                <anchor moveWithCells="1">
                  <from>
                    <xdr:col>2</xdr:col>
                    <xdr:colOff>19050</xdr:colOff>
                    <xdr:row>17</xdr:row>
                    <xdr:rowOff>133350</xdr:rowOff>
                  </from>
                  <to>
                    <xdr:col>2</xdr:col>
                    <xdr:colOff>963930</xdr:colOff>
                    <xdr:row>22</xdr:row>
                    <xdr:rowOff>144780</xdr:rowOff>
                  </to>
                </anchor>
              </controlPr>
            </control>
          </mc:Choice>
        </mc:AlternateContent>
        <mc:AlternateContent xmlns:mc="http://schemas.openxmlformats.org/markup-compatibility/2006">
          <mc:Choice Requires="x14">
            <control shapeId="16407" r:id="rId14" name="Option Button 23">
              <controlPr defaultSize="0" autoFill="0" autoLine="0" autoPict="0">
                <anchor moveWithCells="1">
                  <from>
                    <xdr:col>2</xdr:col>
                    <xdr:colOff>674370</xdr:colOff>
                    <xdr:row>18</xdr:row>
                    <xdr:rowOff>0</xdr:rowOff>
                  </from>
                  <to>
                    <xdr:col>2</xdr:col>
                    <xdr:colOff>906780</xdr:colOff>
                    <xdr:row>19</xdr:row>
                    <xdr:rowOff>0</xdr:rowOff>
                  </to>
                </anchor>
              </controlPr>
            </control>
          </mc:Choice>
        </mc:AlternateContent>
        <mc:AlternateContent xmlns:mc="http://schemas.openxmlformats.org/markup-compatibility/2006">
          <mc:Choice Requires="x14">
            <control shapeId="16408" r:id="rId15" name="Option Button 24">
              <controlPr defaultSize="0" autoFill="0" autoLine="0" autoPict="0">
                <anchor moveWithCells="1">
                  <from>
                    <xdr:col>2</xdr:col>
                    <xdr:colOff>674370</xdr:colOff>
                    <xdr:row>19</xdr:row>
                    <xdr:rowOff>11430</xdr:rowOff>
                  </from>
                  <to>
                    <xdr:col>2</xdr:col>
                    <xdr:colOff>906780</xdr:colOff>
                    <xdr:row>20</xdr:row>
                    <xdr:rowOff>0</xdr:rowOff>
                  </to>
                </anchor>
              </controlPr>
            </control>
          </mc:Choice>
        </mc:AlternateContent>
        <mc:AlternateContent xmlns:mc="http://schemas.openxmlformats.org/markup-compatibility/2006">
          <mc:Choice Requires="x14">
            <control shapeId="16409" r:id="rId16" name="Option Button 25">
              <controlPr defaultSize="0" autoFill="0" autoLine="0" autoPict="0">
                <anchor moveWithCells="1">
                  <from>
                    <xdr:col>2</xdr:col>
                    <xdr:colOff>674370</xdr:colOff>
                    <xdr:row>20</xdr:row>
                    <xdr:rowOff>0</xdr:rowOff>
                  </from>
                  <to>
                    <xdr:col>2</xdr:col>
                    <xdr:colOff>906780</xdr:colOff>
                    <xdr:row>21</xdr:row>
                    <xdr:rowOff>0</xdr:rowOff>
                  </to>
                </anchor>
              </controlPr>
            </control>
          </mc:Choice>
        </mc:AlternateContent>
        <mc:AlternateContent xmlns:mc="http://schemas.openxmlformats.org/markup-compatibility/2006">
          <mc:Choice Requires="x14">
            <control shapeId="16410" r:id="rId17" name="Option Button 26">
              <controlPr defaultSize="0" autoFill="0" autoLine="0" autoPict="0">
                <anchor moveWithCells="1">
                  <from>
                    <xdr:col>2</xdr:col>
                    <xdr:colOff>674370</xdr:colOff>
                    <xdr:row>21</xdr:row>
                    <xdr:rowOff>0</xdr:rowOff>
                  </from>
                  <to>
                    <xdr:col>2</xdr:col>
                    <xdr:colOff>906780</xdr:colOff>
                    <xdr:row>22</xdr:row>
                    <xdr:rowOff>0</xdr:rowOff>
                  </to>
                </anchor>
              </controlPr>
            </control>
          </mc:Choice>
        </mc:AlternateContent>
        <mc:AlternateContent xmlns:mc="http://schemas.openxmlformats.org/markup-compatibility/2006">
          <mc:Choice Requires="x14">
            <control shapeId="16411" r:id="rId18" name="Group Box 27">
              <controlPr defaultSize="0" autoFill="0" autoPict="0">
                <anchor moveWithCells="1">
                  <from>
                    <xdr:col>2</xdr:col>
                    <xdr:colOff>7620</xdr:colOff>
                    <xdr:row>22</xdr:row>
                    <xdr:rowOff>140970</xdr:rowOff>
                  </from>
                  <to>
                    <xdr:col>2</xdr:col>
                    <xdr:colOff>952500</xdr:colOff>
                    <xdr:row>26</xdr:row>
                    <xdr:rowOff>144780</xdr:rowOff>
                  </to>
                </anchor>
              </controlPr>
            </control>
          </mc:Choice>
        </mc:AlternateContent>
        <mc:AlternateContent xmlns:mc="http://schemas.openxmlformats.org/markup-compatibility/2006">
          <mc:Choice Requires="x14">
            <control shapeId="16422" r:id="rId19" name="Option Button 38">
              <controlPr defaultSize="0" autoFill="0" autoLine="0" autoPict="0">
                <anchor moveWithCells="1">
                  <from>
                    <xdr:col>2</xdr:col>
                    <xdr:colOff>685800</xdr:colOff>
                    <xdr:row>23</xdr:row>
                    <xdr:rowOff>7620</xdr:rowOff>
                  </from>
                  <to>
                    <xdr:col>2</xdr:col>
                    <xdr:colOff>895350</xdr:colOff>
                    <xdr:row>24</xdr:row>
                    <xdr:rowOff>0</xdr:rowOff>
                  </to>
                </anchor>
              </controlPr>
            </control>
          </mc:Choice>
        </mc:AlternateContent>
        <mc:AlternateContent xmlns:mc="http://schemas.openxmlformats.org/markup-compatibility/2006">
          <mc:Choice Requires="x14">
            <control shapeId="16423" r:id="rId20" name="Option Button 39">
              <controlPr defaultSize="0" autoFill="0" autoLine="0" autoPict="0">
                <anchor moveWithCells="1">
                  <from>
                    <xdr:col>2</xdr:col>
                    <xdr:colOff>678180</xdr:colOff>
                    <xdr:row>24</xdr:row>
                    <xdr:rowOff>0</xdr:rowOff>
                  </from>
                  <to>
                    <xdr:col>2</xdr:col>
                    <xdr:colOff>906780</xdr:colOff>
                    <xdr:row>25</xdr:row>
                    <xdr:rowOff>0</xdr:rowOff>
                  </to>
                </anchor>
              </controlPr>
            </control>
          </mc:Choice>
        </mc:AlternateContent>
        <mc:AlternateContent xmlns:mc="http://schemas.openxmlformats.org/markup-compatibility/2006">
          <mc:Choice Requires="x14">
            <control shapeId="16424" r:id="rId21" name="Option Button 40">
              <controlPr defaultSize="0" autoFill="0" autoLine="0" autoPict="0">
                <anchor moveWithCells="1">
                  <from>
                    <xdr:col>2</xdr:col>
                    <xdr:colOff>678180</xdr:colOff>
                    <xdr:row>25</xdr:row>
                    <xdr:rowOff>0</xdr:rowOff>
                  </from>
                  <to>
                    <xdr:col>2</xdr:col>
                    <xdr:colOff>906780</xdr:colOff>
                    <xdr:row>26</xdr:row>
                    <xdr:rowOff>0</xdr:rowOff>
                  </to>
                </anchor>
              </controlPr>
            </control>
          </mc:Choice>
        </mc:AlternateContent>
        <mc:AlternateContent xmlns:mc="http://schemas.openxmlformats.org/markup-compatibility/2006">
          <mc:Choice Requires="x14">
            <control shapeId="16425" r:id="rId22" name="Group Box 41">
              <controlPr defaultSize="0" autoFill="0" autoPict="0">
                <anchor moveWithCells="1">
                  <from>
                    <xdr:col>2</xdr:col>
                    <xdr:colOff>11430</xdr:colOff>
                    <xdr:row>26</xdr:row>
                    <xdr:rowOff>182880</xdr:rowOff>
                  </from>
                  <to>
                    <xdr:col>2</xdr:col>
                    <xdr:colOff>963930</xdr:colOff>
                    <xdr:row>30</xdr:row>
                    <xdr:rowOff>38100</xdr:rowOff>
                  </to>
                </anchor>
              </controlPr>
            </control>
          </mc:Choice>
        </mc:AlternateContent>
        <mc:AlternateContent xmlns:mc="http://schemas.openxmlformats.org/markup-compatibility/2006">
          <mc:Choice Requires="x14">
            <control shapeId="16426" r:id="rId23" name="Option Button 42">
              <controlPr defaultSize="0" autoFill="0" autoLine="0" autoPict="0">
                <anchor moveWithCells="1">
                  <from>
                    <xdr:col>2</xdr:col>
                    <xdr:colOff>685800</xdr:colOff>
                    <xdr:row>27</xdr:row>
                    <xdr:rowOff>0</xdr:rowOff>
                  </from>
                  <to>
                    <xdr:col>2</xdr:col>
                    <xdr:colOff>895350</xdr:colOff>
                    <xdr:row>28</xdr:row>
                    <xdr:rowOff>0</xdr:rowOff>
                  </to>
                </anchor>
              </controlPr>
            </control>
          </mc:Choice>
        </mc:AlternateContent>
        <mc:AlternateContent xmlns:mc="http://schemas.openxmlformats.org/markup-compatibility/2006">
          <mc:Choice Requires="x14">
            <control shapeId="16427" r:id="rId24" name="Option Button 43">
              <controlPr defaultSize="0" autoFill="0" autoLine="0" autoPict="0">
                <anchor moveWithCells="1">
                  <from>
                    <xdr:col>2</xdr:col>
                    <xdr:colOff>693420</xdr:colOff>
                    <xdr:row>28</xdr:row>
                    <xdr:rowOff>0</xdr:rowOff>
                  </from>
                  <to>
                    <xdr:col>2</xdr:col>
                    <xdr:colOff>887730</xdr:colOff>
                    <xdr:row>29</xdr:row>
                    <xdr:rowOff>0</xdr:rowOff>
                  </to>
                </anchor>
              </controlPr>
            </control>
          </mc:Choice>
        </mc:AlternateContent>
        <mc:AlternateContent xmlns:mc="http://schemas.openxmlformats.org/markup-compatibility/2006">
          <mc:Choice Requires="x14">
            <control shapeId="16428" r:id="rId25" name="Option Button 44">
              <controlPr defaultSize="0" autoFill="0" autoLine="0" autoPict="0">
                <anchor moveWithCells="1">
                  <from>
                    <xdr:col>2</xdr:col>
                    <xdr:colOff>693420</xdr:colOff>
                    <xdr:row>29</xdr:row>
                    <xdr:rowOff>0</xdr:rowOff>
                  </from>
                  <to>
                    <xdr:col>2</xdr:col>
                    <xdr:colOff>887730</xdr:colOff>
                    <xdr:row>30</xdr:row>
                    <xdr:rowOff>0</xdr:rowOff>
                  </to>
                </anchor>
              </controlPr>
            </control>
          </mc:Choice>
        </mc:AlternateContent>
        <mc:AlternateContent xmlns:mc="http://schemas.openxmlformats.org/markup-compatibility/2006">
          <mc:Choice Requires="x14">
            <control shapeId="16452" r:id="rId26" name="Group Box 68">
              <controlPr defaultSize="0" autoFill="0" autoPict="0">
                <anchor moveWithCells="1">
                  <from>
                    <xdr:col>2</xdr:col>
                    <xdr:colOff>7620</xdr:colOff>
                    <xdr:row>45</xdr:row>
                    <xdr:rowOff>144780</xdr:rowOff>
                  </from>
                  <to>
                    <xdr:col>2</xdr:col>
                    <xdr:colOff>971550</xdr:colOff>
                    <xdr:row>49</xdr:row>
                    <xdr:rowOff>68580</xdr:rowOff>
                  </to>
                </anchor>
              </controlPr>
            </control>
          </mc:Choice>
        </mc:AlternateContent>
        <mc:AlternateContent xmlns:mc="http://schemas.openxmlformats.org/markup-compatibility/2006">
          <mc:Choice Requires="x14">
            <control shapeId="16453" r:id="rId27" name="Option Button 69">
              <controlPr defaultSize="0" autoFill="0" autoLine="0" autoPict="0">
                <anchor moveWithCells="1">
                  <from>
                    <xdr:col>2</xdr:col>
                    <xdr:colOff>678180</xdr:colOff>
                    <xdr:row>46</xdr:row>
                    <xdr:rowOff>7620</xdr:rowOff>
                  </from>
                  <to>
                    <xdr:col>2</xdr:col>
                    <xdr:colOff>906780</xdr:colOff>
                    <xdr:row>47</xdr:row>
                    <xdr:rowOff>0</xdr:rowOff>
                  </to>
                </anchor>
              </controlPr>
            </control>
          </mc:Choice>
        </mc:AlternateContent>
        <mc:AlternateContent xmlns:mc="http://schemas.openxmlformats.org/markup-compatibility/2006">
          <mc:Choice Requires="x14">
            <control shapeId="16454" r:id="rId28" name="Option Button 70">
              <controlPr defaultSize="0" autoFill="0" autoLine="0" autoPict="0">
                <anchor moveWithCells="1">
                  <from>
                    <xdr:col>2</xdr:col>
                    <xdr:colOff>678180</xdr:colOff>
                    <xdr:row>47</xdr:row>
                    <xdr:rowOff>0</xdr:rowOff>
                  </from>
                  <to>
                    <xdr:col>2</xdr:col>
                    <xdr:colOff>906780</xdr:colOff>
                    <xdr:row>48</xdr:row>
                    <xdr:rowOff>0</xdr:rowOff>
                  </to>
                </anchor>
              </controlPr>
            </control>
          </mc:Choice>
        </mc:AlternateContent>
        <mc:AlternateContent xmlns:mc="http://schemas.openxmlformats.org/markup-compatibility/2006">
          <mc:Choice Requires="x14">
            <control shapeId="16455" r:id="rId29" name="Option Button 71">
              <controlPr defaultSize="0" autoFill="0" autoLine="0" autoPict="0">
                <anchor moveWithCells="1">
                  <from>
                    <xdr:col>2</xdr:col>
                    <xdr:colOff>678180</xdr:colOff>
                    <xdr:row>48</xdr:row>
                    <xdr:rowOff>11430</xdr:rowOff>
                  </from>
                  <to>
                    <xdr:col>2</xdr:col>
                    <xdr:colOff>887730</xdr:colOff>
                    <xdr:row>49</xdr:row>
                    <xdr:rowOff>0</xdr:rowOff>
                  </to>
                </anchor>
              </controlPr>
            </control>
          </mc:Choice>
        </mc:AlternateContent>
        <mc:AlternateContent xmlns:mc="http://schemas.openxmlformats.org/markup-compatibility/2006">
          <mc:Choice Requires="x14">
            <control shapeId="16456" r:id="rId30" name="Group Box 72">
              <controlPr defaultSize="0" autoFill="0" autoPict="0">
                <anchor moveWithCells="1">
                  <from>
                    <xdr:col>2</xdr:col>
                    <xdr:colOff>11430</xdr:colOff>
                    <xdr:row>50</xdr:row>
                    <xdr:rowOff>95250</xdr:rowOff>
                  </from>
                  <to>
                    <xdr:col>2</xdr:col>
                    <xdr:colOff>1436370</xdr:colOff>
                    <xdr:row>53</xdr:row>
                    <xdr:rowOff>87630</xdr:rowOff>
                  </to>
                </anchor>
              </controlPr>
            </control>
          </mc:Choice>
        </mc:AlternateContent>
        <mc:AlternateContent xmlns:mc="http://schemas.openxmlformats.org/markup-compatibility/2006">
          <mc:Choice Requires="x14">
            <control shapeId="16457" r:id="rId31" name="Option Button 73">
              <controlPr defaultSize="0" autoFill="0" autoLine="0" autoPict="0">
                <anchor moveWithCells="1">
                  <from>
                    <xdr:col>2</xdr:col>
                    <xdr:colOff>674370</xdr:colOff>
                    <xdr:row>51</xdr:row>
                    <xdr:rowOff>0</xdr:rowOff>
                  </from>
                  <to>
                    <xdr:col>2</xdr:col>
                    <xdr:colOff>906780</xdr:colOff>
                    <xdr:row>52</xdr:row>
                    <xdr:rowOff>0</xdr:rowOff>
                  </to>
                </anchor>
              </controlPr>
            </control>
          </mc:Choice>
        </mc:AlternateContent>
        <mc:AlternateContent xmlns:mc="http://schemas.openxmlformats.org/markup-compatibility/2006">
          <mc:Choice Requires="x14">
            <control shapeId="16458" r:id="rId32" name="Option Button 74">
              <controlPr defaultSize="0" autoFill="0" autoLine="0" autoPict="0">
                <anchor moveWithCells="1">
                  <from>
                    <xdr:col>2</xdr:col>
                    <xdr:colOff>674370</xdr:colOff>
                    <xdr:row>51</xdr:row>
                    <xdr:rowOff>201930</xdr:rowOff>
                  </from>
                  <to>
                    <xdr:col>2</xdr:col>
                    <xdr:colOff>906780</xdr:colOff>
                    <xdr:row>53</xdr:row>
                    <xdr:rowOff>0</xdr:rowOff>
                  </to>
                </anchor>
              </controlPr>
            </control>
          </mc:Choice>
        </mc:AlternateContent>
        <mc:AlternateContent xmlns:mc="http://schemas.openxmlformats.org/markup-compatibility/2006">
          <mc:Choice Requires="x14">
            <control shapeId="16459" r:id="rId33" name="Group Box 75">
              <controlPr defaultSize="0" autoFill="0" autoPict="0">
                <anchor moveWithCells="1">
                  <from>
                    <xdr:col>2</xdr:col>
                    <xdr:colOff>106680</xdr:colOff>
                    <xdr:row>53</xdr:row>
                    <xdr:rowOff>160020</xdr:rowOff>
                  </from>
                  <to>
                    <xdr:col>2</xdr:col>
                    <xdr:colOff>1078230</xdr:colOff>
                    <xdr:row>58</xdr:row>
                    <xdr:rowOff>331470</xdr:rowOff>
                  </to>
                </anchor>
              </controlPr>
            </control>
          </mc:Choice>
        </mc:AlternateContent>
        <mc:AlternateContent xmlns:mc="http://schemas.openxmlformats.org/markup-compatibility/2006">
          <mc:Choice Requires="x14">
            <control shapeId="16460" r:id="rId34" name="Option Button 76">
              <controlPr defaultSize="0" autoFill="0" autoLine="0" autoPict="0">
                <anchor moveWithCells="1">
                  <from>
                    <xdr:col>2</xdr:col>
                    <xdr:colOff>674370</xdr:colOff>
                    <xdr:row>54</xdr:row>
                    <xdr:rowOff>304800</xdr:rowOff>
                  </from>
                  <to>
                    <xdr:col>2</xdr:col>
                    <xdr:colOff>906780</xdr:colOff>
                    <xdr:row>54</xdr:row>
                    <xdr:rowOff>525780</xdr:rowOff>
                  </to>
                </anchor>
              </controlPr>
            </control>
          </mc:Choice>
        </mc:AlternateContent>
        <mc:AlternateContent xmlns:mc="http://schemas.openxmlformats.org/markup-compatibility/2006">
          <mc:Choice Requires="x14">
            <control shapeId="16461" r:id="rId35" name="Option Button 77">
              <controlPr defaultSize="0" autoFill="0" autoLine="0" autoPict="0">
                <anchor moveWithCells="1">
                  <from>
                    <xdr:col>2</xdr:col>
                    <xdr:colOff>674370</xdr:colOff>
                    <xdr:row>55</xdr:row>
                    <xdr:rowOff>152400</xdr:rowOff>
                  </from>
                  <to>
                    <xdr:col>2</xdr:col>
                    <xdr:colOff>906780</xdr:colOff>
                    <xdr:row>55</xdr:row>
                    <xdr:rowOff>373380</xdr:rowOff>
                  </to>
                </anchor>
              </controlPr>
            </control>
          </mc:Choice>
        </mc:AlternateContent>
        <mc:AlternateContent xmlns:mc="http://schemas.openxmlformats.org/markup-compatibility/2006">
          <mc:Choice Requires="x14">
            <control shapeId="16462" r:id="rId36" name="Option Button 78">
              <controlPr defaultSize="0" autoFill="0" autoLine="0" autoPict="0">
                <anchor moveWithCells="1">
                  <from>
                    <xdr:col>2</xdr:col>
                    <xdr:colOff>674370</xdr:colOff>
                    <xdr:row>56</xdr:row>
                    <xdr:rowOff>68580</xdr:rowOff>
                  </from>
                  <to>
                    <xdr:col>2</xdr:col>
                    <xdr:colOff>906780</xdr:colOff>
                    <xdr:row>56</xdr:row>
                    <xdr:rowOff>285750</xdr:rowOff>
                  </to>
                </anchor>
              </controlPr>
            </control>
          </mc:Choice>
        </mc:AlternateContent>
        <mc:AlternateContent xmlns:mc="http://schemas.openxmlformats.org/markup-compatibility/2006">
          <mc:Choice Requires="x14">
            <control shapeId="16463" r:id="rId37" name="Option Button 79">
              <controlPr defaultSize="0" autoFill="0" autoLine="0" autoPict="0">
                <anchor moveWithCells="1">
                  <from>
                    <xdr:col>2</xdr:col>
                    <xdr:colOff>674370</xdr:colOff>
                    <xdr:row>57</xdr:row>
                    <xdr:rowOff>0</xdr:rowOff>
                  </from>
                  <to>
                    <xdr:col>2</xdr:col>
                    <xdr:colOff>906780</xdr:colOff>
                    <xdr:row>58</xdr:row>
                    <xdr:rowOff>0</xdr:rowOff>
                  </to>
                </anchor>
              </controlPr>
            </control>
          </mc:Choice>
        </mc:AlternateContent>
        <mc:AlternateContent xmlns:mc="http://schemas.openxmlformats.org/markup-compatibility/2006">
          <mc:Choice Requires="x14">
            <control shapeId="16464" r:id="rId38" name="Group Box 80">
              <controlPr defaultSize="0" autoFill="0" autoPict="0">
                <anchor moveWithCells="1">
                  <from>
                    <xdr:col>2</xdr:col>
                    <xdr:colOff>11430</xdr:colOff>
                    <xdr:row>58</xdr:row>
                    <xdr:rowOff>236220</xdr:rowOff>
                  </from>
                  <to>
                    <xdr:col>2</xdr:col>
                    <xdr:colOff>952500</xdr:colOff>
                    <xdr:row>60</xdr:row>
                    <xdr:rowOff>255270</xdr:rowOff>
                  </to>
                </anchor>
              </controlPr>
            </control>
          </mc:Choice>
        </mc:AlternateContent>
        <mc:AlternateContent xmlns:mc="http://schemas.openxmlformats.org/markup-compatibility/2006">
          <mc:Choice Requires="x14">
            <control shapeId="16465" r:id="rId39" name="Option Button 81">
              <controlPr defaultSize="0" autoFill="0" autoLine="0" autoPict="0">
                <anchor moveWithCells="1">
                  <from>
                    <xdr:col>2</xdr:col>
                    <xdr:colOff>678180</xdr:colOff>
                    <xdr:row>59</xdr:row>
                    <xdr:rowOff>0</xdr:rowOff>
                  </from>
                  <to>
                    <xdr:col>2</xdr:col>
                    <xdr:colOff>906780</xdr:colOff>
                    <xdr:row>60</xdr:row>
                    <xdr:rowOff>0</xdr:rowOff>
                  </to>
                </anchor>
              </controlPr>
            </control>
          </mc:Choice>
        </mc:AlternateContent>
        <mc:AlternateContent xmlns:mc="http://schemas.openxmlformats.org/markup-compatibility/2006">
          <mc:Choice Requires="x14">
            <control shapeId="16466" r:id="rId40" name="Option Button 82">
              <controlPr defaultSize="0" autoFill="0" autoLine="0" autoPict="0">
                <anchor moveWithCells="1">
                  <from>
                    <xdr:col>2</xdr:col>
                    <xdr:colOff>678180</xdr:colOff>
                    <xdr:row>60</xdr:row>
                    <xdr:rowOff>0</xdr:rowOff>
                  </from>
                  <to>
                    <xdr:col>2</xdr:col>
                    <xdr:colOff>906780</xdr:colOff>
                    <xdr:row>60</xdr:row>
                    <xdr:rowOff>198120</xdr:rowOff>
                  </to>
                </anchor>
              </controlPr>
            </control>
          </mc:Choice>
        </mc:AlternateContent>
        <mc:AlternateContent xmlns:mc="http://schemas.openxmlformats.org/markup-compatibility/2006">
          <mc:Choice Requires="x14">
            <control shapeId="16467" r:id="rId41" name="Group Box 83">
              <controlPr defaultSize="0" autoFill="0" autoPict="0">
                <anchor moveWithCells="1">
                  <from>
                    <xdr:col>2</xdr:col>
                    <xdr:colOff>19050</xdr:colOff>
                    <xdr:row>61</xdr:row>
                    <xdr:rowOff>152400</xdr:rowOff>
                  </from>
                  <to>
                    <xdr:col>2</xdr:col>
                    <xdr:colOff>990600</xdr:colOff>
                    <xdr:row>65</xdr:row>
                    <xdr:rowOff>87630</xdr:rowOff>
                  </to>
                </anchor>
              </controlPr>
            </control>
          </mc:Choice>
        </mc:AlternateContent>
        <mc:AlternateContent xmlns:mc="http://schemas.openxmlformats.org/markup-compatibility/2006">
          <mc:Choice Requires="x14">
            <control shapeId="16468" r:id="rId42" name="Option Button 84">
              <controlPr defaultSize="0" autoFill="0" autoLine="0" autoPict="0">
                <anchor moveWithCells="1">
                  <from>
                    <xdr:col>2</xdr:col>
                    <xdr:colOff>674370</xdr:colOff>
                    <xdr:row>62</xdr:row>
                    <xdr:rowOff>0</xdr:rowOff>
                  </from>
                  <to>
                    <xdr:col>2</xdr:col>
                    <xdr:colOff>906780</xdr:colOff>
                    <xdr:row>63</xdr:row>
                    <xdr:rowOff>0</xdr:rowOff>
                  </to>
                </anchor>
              </controlPr>
            </control>
          </mc:Choice>
        </mc:AlternateContent>
        <mc:AlternateContent xmlns:mc="http://schemas.openxmlformats.org/markup-compatibility/2006">
          <mc:Choice Requires="x14">
            <control shapeId="16472" r:id="rId43" name="Option Button 88">
              <controlPr defaultSize="0" autoFill="0" autoLine="0" autoPict="0">
                <anchor moveWithCells="1">
                  <from>
                    <xdr:col>2</xdr:col>
                    <xdr:colOff>674370</xdr:colOff>
                    <xdr:row>63</xdr:row>
                    <xdr:rowOff>68580</xdr:rowOff>
                  </from>
                  <to>
                    <xdr:col>2</xdr:col>
                    <xdr:colOff>906780</xdr:colOff>
                    <xdr:row>63</xdr:row>
                    <xdr:rowOff>297180</xdr:rowOff>
                  </to>
                </anchor>
              </controlPr>
            </control>
          </mc:Choice>
        </mc:AlternateContent>
        <mc:AlternateContent xmlns:mc="http://schemas.openxmlformats.org/markup-compatibility/2006">
          <mc:Choice Requires="x14">
            <control shapeId="16473" r:id="rId44" name="Option Button 89">
              <controlPr defaultSize="0" autoFill="0" autoLine="0" autoPict="0">
                <anchor moveWithCells="1">
                  <from>
                    <xdr:col>2</xdr:col>
                    <xdr:colOff>674370</xdr:colOff>
                    <xdr:row>64</xdr:row>
                    <xdr:rowOff>38100</xdr:rowOff>
                  </from>
                  <to>
                    <xdr:col>2</xdr:col>
                    <xdr:colOff>906780</xdr:colOff>
                    <xdr:row>64</xdr:row>
                    <xdr:rowOff>278130</xdr:rowOff>
                  </to>
                </anchor>
              </controlPr>
            </control>
          </mc:Choice>
        </mc:AlternateContent>
        <mc:AlternateContent xmlns:mc="http://schemas.openxmlformats.org/markup-compatibility/2006">
          <mc:Choice Requires="x14">
            <control shapeId="16475" r:id="rId45" name="Group Box 91">
              <controlPr defaultSize="0" autoFill="0" autoPict="0">
                <anchor moveWithCells="1">
                  <from>
                    <xdr:col>4</xdr:col>
                    <xdr:colOff>0</xdr:colOff>
                    <xdr:row>7</xdr:row>
                    <xdr:rowOff>95250</xdr:rowOff>
                  </from>
                  <to>
                    <xdr:col>4</xdr:col>
                    <xdr:colOff>1436370</xdr:colOff>
                    <xdr:row>12</xdr:row>
                    <xdr:rowOff>19050</xdr:rowOff>
                  </to>
                </anchor>
              </controlPr>
            </control>
          </mc:Choice>
        </mc:AlternateContent>
        <mc:AlternateContent xmlns:mc="http://schemas.openxmlformats.org/markup-compatibility/2006">
          <mc:Choice Requires="x14">
            <control shapeId="16476" r:id="rId46" name="Option Button 92">
              <controlPr defaultSize="0" autoFill="0" autoLine="0" autoPict="0">
                <anchor moveWithCells="1">
                  <from>
                    <xdr:col>4</xdr:col>
                    <xdr:colOff>678180</xdr:colOff>
                    <xdr:row>8</xdr:row>
                    <xdr:rowOff>7620</xdr:rowOff>
                  </from>
                  <to>
                    <xdr:col>4</xdr:col>
                    <xdr:colOff>906780</xdr:colOff>
                    <xdr:row>9</xdr:row>
                    <xdr:rowOff>0</xdr:rowOff>
                  </to>
                </anchor>
              </controlPr>
            </control>
          </mc:Choice>
        </mc:AlternateContent>
        <mc:AlternateContent xmlns:mc="http://schemas.openxmlformats.org/markup-compatibility/2006">
          <mc:Choice Requires="x14">
            <control shapeId="16477" r:id="rId47" name="Option Button 93">
              <controlPr defaultSize="0" autoFill="0" autoLine="0" autoPict="0">
                <anchor moveWithCells="1">
                  <from>
                    <xdr:col>4</xdr:col>
                    <xdr:colOff>678180</xdr:colOff>
                    <xdr:row>9</xdr:row>
                    <xdr:rowOff>11430</xdr:rowOff>
                  </from>
                  <to>
                    <xdr:col>4</xdr:col>
                    <xdr:colOff>895350</xdr:colOff>
                    <xdr:row>10</xdr:row>
                    <xdr:rowOff>0</xdr:rowOff>
                  </to>
                </anchor>
              </controlPr>
            </control>
          </mc:Choice>
        </mc:AlternateContent>
        <mc:AlternateContent xmlns:mc="http://schemas.openxmlformats.org/markup-compatibility/2006">
          <mc:Choice Requires="x14">
            <control shapeId="16478" r:id="rId48" name="Option Button 94">
              <controlPr defaultSize="0" autoFill="0" autoLine="0" autoPict="0">
                <anchor moveWithCells="1">
                  <from>
                    <xdr:col>4</xdr:col>
                    <xdr:colOff>678180</xdr:colOff>
                    <xdr:row>10</xdr:row>
                    <xdr:rowOff>0</xdr:rowOff>
                  </from>
                  <to>
                    <xdr:col>4</xdr:col>
                    <xdr:colOff>906780</xdr:colOff>
                    <xdr:row>11</xdr:row>
                    <xdr:rowOff>0</xdr:rowOff>
                  </to>
                </anchor>
              </controlPr>
            </control>
          </mc:Choice>
        </mc:AlternateContent>
        <mc:AlternateContent xmlns:mc="http://schemas.openxmlformats.org/markup-compatibility/2006">
          <mc:Choice Requires="x14">
            <control shapeId="16479" r:id="rId49" name="Option Button 95">
              <controlPr defaultSize="0" autoFill="0" autoLine="0" autoPict="0">
                <anchor moveWithCells="1">
                  <from>
                    <xdr:col>4</xdr:col>
                    <xdr:colOff>678180</xdr:colOff>
                    <xdr:row>11</xdr:row>
                    <xdr:rowOff>220980</xdr:rowOff>
                  </from>
                  <to>
                    <xdr:col>4</xdr:col>
                    <xdr:colOff>887730</xdr:colOff>
                    <xdr:row>11</xdr:row>
                    <xdr:rowOff>449580</xdr:rowOff>
                  </to>
                </anchor>
              </controlPr>
            </control>
          </mc:Choice>
        </mc:AlternateContent>
        <mc:AlternateContent xmlns:mc="http://schemas.openxmlformats.org/markup-compatibility/2006">
          <mc:Choice Requires="x14">
            <control shapeId="16480" r:id="rId50" name="Group Box 96">
              <controlPr defaultSize="0" autoFill="0" autoPict="0">
                <anchor moveWithCells="1">
                  <from>
                    <xdr:col>4</xdr:col>
                    <xdr:colOff>30480</xdr:colOff>
                    <xdr:row>12</xdr:row>
                    <xdr:rowOff>95250</xdr:rowOff>
                  </from>
                  <to>
                    <xdr:col>4</xdr:col>
                    <xdr:colOff>1436370</xdr:colOff>
                    <xdr:row>17</xdr:row>
                    <xdr:rowOff>0</xdr:rowOff>
                  </to>
                </anchor>
              </controlPr>
            </control>
          </mc:Choice>
        </mc:AlternateContent>
        <mc:AlternateContent xmlns:mc="http://schemas.openxmlformats.org/markup-compatibility/2006">
          <mc:Choice Requires="x14">
            <control shapeId="16481" r:id="rId51" name="Option Button 97">
              <controlPr defaultSize="0" autoFill="0" autoLine="0" autoPict="0">
                <anchor moveWithCells="1">
                  <from>
                    <xdr:col>4</xdr:col>
                    <xdr:colOff>678180</xdr:colOff>
                    <xdr:row>13</xdr:row>
                    <xdr:rowOff>0</xdr:rowOff>
                  </from>
                  <to>
                    <xdr:col>4</xdr:col>
                    <xdr:colOff>887730</xdr:colOff>
                    <xdr:row>14</xdr:row>
                    <xdr:rowOff>0</xdr:rowOff>
                  </to>
                </anchor>
              </controlPr>
            </control>
          </mc:Choice>
        </mc:AlternateContent>
        <mc:AlternateContent xmlns:mc="http://schemas.openxmlformats.org/markup-compatibility/2006">
          <mc:Choice Requires="x14">
            <control shapeId="16482" r:id="rId52" name="Option Button 98">
              <controlPr defaultSize="0" autoFill="0" autoLine="0" autoPict="0">
                <anchor moveWithCells="1">
                  <from>
                    <xdr:col>4</xdr:col>
                    <xdr:colOff>678180</xdr:colOff>
                    <xdr:row>14</xdr:row>
                    <xdr:rowOff>11430</xdr:rowOff>
                  </from>
                  <to>
                    <xdr:col>4</xdr:col>
                    <xdr:colOff>887730</xdr:colOff>
                    <xdr:row>15</xdr:row>
                    <xdr:rowOff>0</xdr:rowOff>
                  </to>
                </anchor>
              </controlPr>
            </control>
          </mc:Choice>
        </mc:AlternateContent>
        <mc:AlternateContent xmlns:mc="http://schemas.openxmlformats.org/markup-compatibility/2006">
          <mc:Choice Requires="x14">
            <control shapeId="16483" r:id="rId53" name="Option Button 99">
              <controlPr defaultSize="0" autoFill="0" autoLine="0" autoPict="0">
                <anchor moveWithCells="1">
                  <from>
                    <xdr:col>4</xdr:col>
                    <xdr:colOff>678180</xdr:colOff>
                    <xdr:row>15</xdr:row>
                    <xdr:rowOff>163830</xdr:rowOff>
                  </from>
                  <to>
                    <xdr:col>4</xdr:col>
                    <xdr:colOff>887730</xdr:colOff>
                    <xdr:row>15</xdr:row>
                    <xdr:rowOff>373380</xdr:rowOff>
                  </to>
                </anchor>
              </controlPr>
            </control>
          </mc:Choice>
        </mc:AlternateContent>
        <mc:AlternateContent xmlns:mc="http://schemas.openxmlformats.org/markup-compatibility/2006">
          <mc:Choice Requires="x14">
            <control shapeId="16486" r:id="rId54" name="Group Box 102">
              <controlPr defaultSize="0" autoFill="0" autoPict="0">
                <anchor moveWithCells="1">
                  <from>
                    <xdr:col>4</xdr:col>
                    <xdr:colOff>19050</xdr:colOff>
                    <xdr:row>17</xdr:row>
                    <xdr:rowOff>76200</xdr:rowOff>
                  </from>
                  <to>
                    <xdr:col>4</xdr:col>
                    <xdr:colOff>1436370</xdr:colOff>
                    <xdr:row>22</xdr:row>
                    <xdr:rowOff>57150</xdr:rowOff>
                  </to>
                </anchor>
              </controlPr>
            </control>
          </mc:Choice>
        </mc:AlternateContent>
        <mc:AlternateContent xmlns:mc="http://schemas.openxmlformats.org/markup-compatibility/2006">
          <mc:Choice Requires="x14">
            <control shapeId="16487" r:id="rId55" name="Option Button 103">
              <controlPr defaultSize="0" autoFill="0" autoLine="0" autoPict="0">
                <anchor moveWithCells="1">
                  <from>
                    <xdr:col>4</xdr:col>
                    <xdr:colOff>685800</xdr:colOff>
                    <xdr:row>18</xdr:row>
                    <xdr:rowOff>0</xdr:rowOff>
                  </from>
                  <to>
                    <xdr:col>4</xdr:col>
                    <xdr:colOff>895350</xdr:colOff>
                    <xdr:row>19</xdr:row>
                    <xdr:rowOff>0</xdr:rowOff>
                  </to>
                </anchor>
              </controlPr>
            </control>
          </mc:Choice>
        </mc:AlternateContent>
        <mc:AlternateContent xmlns:mc="http://schemas.openxmlformats.org/markup-compatibility/2006">
          <mc:Choice Requires="x14">
            <control shapeId="16489" r:id="rId56" name="Option Button 105">
              <controlPr defaultSize="0" autoFill="0" autoLine="0" autoPict="0">
                <anchor moveWithCells="1">
                  <from>
                    <xdr:col>4</xdr:col>
                    <xdr:colOff>685800</xdr:colOff>
                    <xdr:row>19</xdr:row>
                    <xdr:rowOff>11430</xdr:rowOff>
                  </from>
                  <to>
                    <xdr:col>4</xdr:col>
                    <xdr:colOff>895350</xdr:colOff>
                    <xdr:row>20</xdr:row>
                    <xdr:rowOff>0</xdr:rowOff>
                  </to>
                </anchor>
              </controlPr>
            </control>
          </mc:Choice>
        </mc:AlternateContent>
        <mc:AlternateContent xmlns:mc="http://schemas.openxmlformats.org/markup-compatibility/2006">
          <mc:Choice Requires="x14">
            <control shapeId="16490" r:id="rId57" name="Option Button 106">
              <controlPr defaultSize="0" autoFill="0" autoLine="0" autoPict="0">
                <anchor moveWithCells="1">
                  <from>
                    <xdr:col>4</xdr:col>
                    <xdr:colOff>685800</xdr:colOff>
                    <xdr:row>20</xdr:row>
                    <xdr:rowOff>0</xdr:rowOff>
                  </from>
                  <to>
                    <xdr:col>4</xdr:col>
                    <xdr:colOff>895350</xdr:colOff>
                    <xdr:row>21</xdr:row>
                    <xdr:rowOff>0</xdr:rowOff>
                  </to>
                </anchor>
              </controlPr>
            </control>
          </mc:Choice>
        </mc:AlternateContent>
        <mc:AlternateContent xmlns:mc="http://schemas.openxmlformats.org/markup-compatibility/2006">
          <mc:Choice Requires="x14">
            <control shapeId="16491" r:id="rId58" name="Option Button 107">
              <controlPr defaultSize="0" autoFill="0" autoLine="0" autoPict="0">
                <anchor moveWithCells="1">
                  <from>
                    <xdr:col>4</xdr:col>
                    <xdr:colOff>685800</xdr:colOff>
                    <xdr:row>21</xdr:row>
                    <xdr:rowOff>7620</xdr:rowOff>
                  </from>
                  <to>
                    <xdr:col>4</xdr:col>
                    <xdr:colOff>895350</xdr:colOff>
                    <xdr:row>22</xdr:row>
                    <xdr:rowOff>0</xdr:rowOff>
                  </to>
                </anchor>
              </controlPr>
            </control>
          </mc:Choice>
        </mc:AlternateContent>
        <mc:AlternateContent xmlns:mc="http://schemas.openxmlformats.org/markup-compatibility/2006">
          <mc:Choice Requires="x14">
            <control shapeId="16492" r:id="rId59" name="Option Button 108">
              <controlPr defaultSize="0" autoFill="0" autoLine="0" autoPict="0">
                <anchor moveWithCells="1">
                  <from>
                    <xdr:col>4</xdr:col>
                    <xdr:colOff>674370</xdr:colOff>
                    <xdr:row>16</xdr:row>
                    <xdr:rowOff>11430</xdr:rowOff>
                  </from>
                  <to>
                    <xdr:col>4</xdr:col>
                    <xdr:colOff>906780</xdr:colOff>
                    <xdr:row>17</xdr:row>
                    <xdr:rowOff>0</xdr:rowOff>
                  </to>
                </anchor>
              </controlPr>
            </control>
          </mc:Choice>
        </mc:AlternateContent>
        <mc:AlternateContent xmlns:mc="http://schemas.openxmlformats.org/markup-compatibility/2006">
          <mc:Choice Requires="x14">
            <control shapeId="16493" r:id="rId60" name="Group Box 109">
              <controlPr defaultSize="0" autoFill="0" autoPict="0">
                <anchor moveWithCells="1">
                  <from>
                    <xdr:col>4</xdr:col>
                    <xdr:colOff>0</xdr:colOff>
                    <xdr:row>22</xdr:row>
                    <xdr:rowOff>106680</xdr:rowOff>
                  </from>
                  <to>
                    <xdr:col>4</xdr:col>
                    <xdr:colOff>1436370</xdr:colOff>
                    <xdr:row>26</xdr:row>
                    <xdr:rowOff>144780</xdr:rowOff>
                  </to>
                </anchor>
              </controlPr>
            </control>
          </mc:Choice>
        </mc:AlternateContent>
        <mc:AlternateContent xmlns:mc="http://schemas.openxmlformats.org/markup-compatibility/2006">
          <mc:Choice Requires="x14">
            <control shapeId="16494" r:id="rId61" name="Option Button 110">
              <controlPr defaultSize="0" autoFill="0" autoLine="0" autoPict="0">
                <anchor moveWithCells="1">
                  <from>
                    <xdr:col>4</xdr:col>
                    <xdr:colOff>674370</xdr:colOff>
                    <xdr:row>23</xdr:row>
                    <xdr:rowOff>11430</xdr:rowOff>
                  </from>
                  <to>
                    <xdr:col>4</xdr:col>
                    <xdr:colOff>906780</xdr:colOff>
                    <xdr:row>24</xdr:row>
                    <xdr:rowOff>0</xdr:rowOff>
                  </to>
                </anchor>
              </controlPr>
            </control>
          </mc:Choice>
        </mc:AlternateContent>
        <mc:AlternateContent xmlns:mc="http://schemas.openxmlformats.org/markup-compatibility/2006">
          <mc:Choice Requires="x14">
            <control shapeId="16495" r:id="rId62" name="Option Button 111">
              <controlPr defaultSize="0" autoFill="0" autoLine="0" autoPict="0">
                <anchor moveWithCells="1">
                  <from>
                    <xdr:col>4</xdr:col>
                    <xdr:colOff>674370</xdr:colOff>
                    <xdr:row>24</xdr:row>
                    <xdr:rowOff>0</xdr:rowOff>
                  </from>
                  <to>
                    <xdr:col>4</xdr:col>
                    <xdr:colOff>906780</xdr:colOff>
                    <xdr:row>25</xdr:row>
                    <xdr:rowOff>0</xdr:rowOff>
                  </to>
                </anchor>
              </controlPr>
            </control>
          </mc:Choice>
        </mc:AlternateContent>
        <mc:AlternateContent xmlns:mc="http://schemas.openxmlformats.org/markup-compatibility/2006">
          <mc:Choice Requires="x14">
            <control shapeId="16496" r:id="rId63" name="Option Button 112">
              <controlPr defaultSize="0" autoFill="0" autoLine="0" autoPict="0">
                <anchor moveWithCells="1">
                  <from>
                    <xdr:col>4</xdr:col>
                    <xdr:colOff>674370</xdr:colOff>
                    <xdr:row>25</xdr:row>
                    <xdr:rowOff>11430</xdr:rowOff>
                  </from>
                  <to>
                    <xdr:col>4</xdr:col>
                    <xdr:colOff>906780</xdr:colOff>
                    <xdr:row>26</xdr:row>
                    <xdr:rowOff>0</xdr:rowOff>
                  </to>
                </anchor>
              </controlPr>
            </control>
          </mc:Choice>
        </mc:AlternateContent>
        <mc:AlternateContent xmlns:mc="http://schemas.openxmlformats.org/markup-compatibility/2006">
          <mc:Choice Requires="x14">
            <control shapeId="16497" r:id="rId64" name="Group Box 113">
              <controlPr defaultSize="0" autoFill="0" autoPict="0">
                <anchor moveWithCells="1">
                  <from>
                    <xdr:col>4</xdr:col>
                    <xdr:colOff>11430</xdr:colOff>
                    <xdr:row>26</xdr:row>
                    <xdr:rowOff>220980</xdr:rowOff>
                  </from>
                  <to>
                    <xdr:col>4</xdr:col>
                    <xdr:colOff>1436370</xdr:colOff>
                    <xdr:row>30</xdr:row>
                    <xdr:rowOff>68580</xdr:rowOff>
                  </to>
                </anchor>
              </controlPr>
            </control>
          </mc:Choice>
        </mc:AlternateContent>
        <mc:AlternateContent xmlns:mc="http://schemas.openxmlformats.org/markup-compatibility/2006">
          <mc:Choice Requires="x14">
            <control shapeId="16498" r:id="rId65" name="Option Button 114">
              <controlPr defaultSize="0" autoFill="0" autoLine="0" autoPict="0">
                <anchor moveWithCells="1">
                  <from>
                    <xdr:col>4</xdr:col>
                    <xdr:colOff>678180</xdr:colOff>
                    <xdr:row>27</xdr:row>
                    <xdr:rowOff>0</xdr:rowOff>
                  </from>
                  <to>
                    <xdr:col>4</xdr:col>
                    <xdr:colOff>887730</xdr:colOff>
                    <xdr:row>28</xdr:row>
                    <xdr:rowOff>0</xdr:rowOff>
                  </to>
                </anchor>
              </controlPr>
            </control>
          </mc:Choice>
        </mc:AlternateContent>
        <mc:AlternateContent xmlns:mc="http://schemas.openxmlformats.org/markup-compatibility/2006">
          <mc:Choice Requires="x14">
            <control shapeId="16499" r:id="rId66" name="Option Button 115">
              <controlPr defaultSize="0" autoFill="0" autoLine="0" autoPict="0">
                <anchor moveWithCells="1">
                  <from>
                    <xdr:col>4</xdr:col>
                    <xdr:colOff>674370</xdr:colOff>
                    <xdr:row>28</xdr:row>
                    <xdr:rowOff>0</xdr:rowOff>
                  </from>
                  <to>
                    <xdr:col>4</xdr:col>
                    <xdr:colOff>906780</xdr:colOff>
                    <xdr:row>29</xdr:row>
                    <xdr:rowOff>0</xdr:rowOff>
                  </to>
                </anchor>
              </controlPr>
            </control>
          </mc:Choice>
        </mc:AlternateContent>
        <mc:AlternateContent xmlns:mc="http://schemas.openxmlformats.org/markup-compatibility/2006">
          <mc:Choice Requires="x14">
            <control shapeId="16500" r:id="rId67" name="Option Button 116">
              <controlPr defaultSize="0" autoFill="0" autoLine="0" autoPict="0">
                <anchor moveWithCells="1">
                  <from>
                    <xdr:col>4</xdr:col>
                    <xdr:colOff>674370</xdr:colOff>
                    <xdr:row>29</xdr:row>
                    <xdr:rowOff>0</xdr:rowOff>
                  </from>
                  <to>
                    <xdr:col>4</xdr:col>
                    <xdr:colOff>906780</xdr:colOff>
                    <xdr:row>30</xdr:row>
                    <xdr:rowOff>0</xdr:rowOff>
                  </to>
                </anchor>
              </controlPr>
            </control>
          </mc:Choice>
        </mc:AlternateContent>
        <mc:AlternateContent xmlns:mc="http://schemas.openxmlformats.org/markup-compatibility/2006">
          <mc:Choice Requires="x14">
            <control shapeId="16501" r:id="rId68" name="Group Box 117">
              <controlPr defaultSize="0" autoFill="0" autoPict="0">
                <anchor moveWithCells="1">
                  <from>
                    <xdr:col>4</xdr:col>
                    <xdr:colOff>11430</xdr:colOff>
                    <xdr:row>30</xdr:row>
                    <xdr:rowOff>125730</xdr:rowOff>
                  </from>
                  <to>
                    <xdr:col>4</xdr:col>
                    <xdr:colOff>1436370</xdr:colOff>
                    <xdr:row>36</xdr:row>
                    <xdr:rowOff>57150</xdr:rowOff>
                  </to>
                </anchor>
              </controlPr>
            </control>
          </mc:Choice>
        </mc:AlternateContent>
        <mc:AlternateContent xmlns:mc="http://schemas.openxmlformats.org/markup-compatibility/2006">
          <mc:Choice Requires="x14">
            <control shapeId="16502" r:id="rId69" name="Option Button 118">
              <controlPr defaultSize="0" autoFill="0" autoLine="0" autoPict="0">
                <anchor moveWithCells="1">
                  <from>
                    <xdr:col>4</xdr:col>
                    <xdr:colOff>678180</xdr:colOff>
                    <xdr:row>31</xdr:row>
                    <xdr:rowOff>7620</xdr:rowOff>
                  </from>
                  <to>
                    <xdr:col>4</xdr:col>
                    <xdr:colOff>906780</xdr:colOff>
                    <xdr:row>32</xdr:row>
                    <xdr:rowOff>0</xdr:rowOff>
                  </to>
                </anchor>
              </controlPr>
            </control>
          </mc:Choice>
        </mc:AlternateContent>
        <mc:AlternateContent xmlns:mc="http://schemas.openxmlformats.org/markup-compatibility/2006">
          <mc:Choice Requires="x14">
            <control shapeId="16503" r:id="rId70" name="Option Button 119">
              <controlPr defaultSize="0" autoFill="0" autoLine="0" autoPict="0">
                <anchor moveWithCells="1">
                  <from>
                    <xdr:col>4</xdr:col>
                    <xdr:colOff>685800</xdr:colOff>
                    <xdr:row>32</xdr:row>
                    <xdr:rowOff>87630</xdr:rowOff>
                  </from>
                  <to>
                    <xdr:col>4</xdr:col>
                    <xdr:colOff>906780</xdr:colOff>
                    <xdr:row>32</xdr:row>
                    <xdr:rowOff>285750</xdr:rowOff>
                  </to>
                </anchor>
              </controlPr>
            </control>
          </mc:Choice>
        </mc:AlternateContent>
        <mc:AlternateContent xmlns:mc="http://schemas.openxmlformats.org/markup-compatibility/2006">
          <mc:Choice Requires="x14">
            <control shapeId="16504" r:id="rId71" name="Option Button 120">
              <controlPr defaultSize="0" autoFill="0" autoLine="0" autoPict="0">
                <anchor moveWithCells="1">
                  <from>
                    <xdr:col>4</xdr:col>
                    <xdr:colOff>678180</xdr:colOff>
                    <xdr:row>33</xdr:row>
                    <xdr:rowOff>76200</xdr:rowOff>
                  </from>
                  <to>
                    <xdr:col>4</xdr:col>
                    <xdr:colOff>895350</xdr:colOff>
                    <xdr:row>33</xdr:row>
                    <xdr:rowOff>285750</xdr:rowOff>
                  </to>
                </anchor>
              </controlPr>
            </control>
          </mc:Choice>
        </mc:AlternateContent>
        <mc:AlternateContent xmlns:mc="http://schemas.openxmlformats.org/markup-compatibility/2006">
          <mc:Choice Requires="x14">
            <control shapeId="16505" r:id="rId72" name="Option Button 121">
              <controlPr defaultSize="0" autoFill="0" autoLine="0" autoPict="0">
                <anchor moveWithCells="1">
                  <from>
                    <xdr:col>4</xdr:col>
                    <xdr:colOff>678180</xdr:colOff>
                    <xdr:row>34</xdr:row>
                    <xdr:rowOff>76200</xdr:rowOff>
                  </from>
                  <to>
                    <xdr:col>4</xdr:col>
                    <xdr:colOff>895350</xdr:colOff>
                    <xdr:row>34</xdr:row>
                    <xdr:rowOff>285750</xdr:rowOff>
                  </to>
                </anchor>
              </controlPr>
            </control>
          </mc:Choice>
        </mc:AlternateContent>
        <mc:AlternateContent xmlns:mc="http://schemas.openxmlformats.org/markup-compatibility/2006">
          <mc:Choice Requires="x14">
            <control shapeId="16506" r:id="rId73" name="Option Button 122">
              <controlPr defaultSize="0" autoFill="0" autoLine="0" autoPict="0">
                <anchor moveWithCells="1">
                  <from>
                    <xdr:col>4</xdr:col>
                    <xdr:colOff>685800</xdr:colOff>
                    <xdr:row>35</xdr:row>
                    <xdr:rowOff>68580</xdr:rowOff>
                  </from>
                  <to>
                    <xdr:col>4</xdr:col>
                    <xdr:colOff>906780</xdr:colOff>
                    <xdr:row>35</xdr:row>
                    <xdr:rowOff>278130</xdr:rowOff>
                  </to>
                </anchor>
              </controlPr>
            </control>
          </mc:Choice>
        </mc:AlternateContent>
        <mc:AlternateContent xmlns:mc="http://schemas.openxmlformats.org/markup-compatibility/2006">
          <mc:Choice Requires="x14">
            <control shapeId="16507" r:id="rId74" name="Group Box 123">
              <controlPr defaultSize="0" autoFill="0" autoPict="0">
                <anchor moveWithCells="1">
                  <from>
                    <xdr:col>4</xdr:col>
                    <xdr:colOff>11430</xdr:colOff>
                    <xdr:row>36</xdr:row>
                    <xdr:rowOff>114300</xdr:rowOff>
                  </from>
                  <to>
                    <xdr:col>4</xdr:col>
                    <xdr:colOff>1436370</xdr:colOff>
                    <xdr:row>40</xdr:row>
                    <xdr:rowOff>125730</xdr:rowOff>
                  </to>
                </anchor>
              </controlPr>
            </control>
          </mc:Choice>
        </mc:AlternateContent>
        <mc:AlternateContent xmlns:mc="http://schemas.openxmlformats.org/markup-compatibility/2006">
          <mc:Choice Requires="x14">
            <control shapeId="16508" r:id="rId75" name="Option Button 124">
              <controlPr defaultSize="0" autoFill="0" autoLine="0" autoPict="0">
                <anchor moveWithCells="1">
                  <from>
                    <xdr:col>4</xdr:col>
                    <xdr:colOff>678180</xdr:colOff>
                    <xdr:row>37</xdr:row>
                    <xdr:rowOff>0</xdr:rowOff>
                  </from>
                  <to>
                    <xdr:col>4</xdr:col>
                    <xdr:colOff>887730</xdr:colOff>
                    <xdr:row>38</xdr:row>
                    <xdr:rowOff>0</xdr:rowOff>
                  </to>
                </anchor>
              </controlPr>
            </control>
          </mc:Choice>
        </mc:AlternateContent>
        <mc:AlternateContent xmlns:mc="http://schemas.openxmlformats.org/markup-compatibility/2006">
          <mc:Choice Requires="x14">
            <control shapeId="16509" r:id="rId76" name="Option Button 125">
              <controlPr defaultSize="0" autoFill="0" autoLine="0" autoPict="0">
                <anchor moveWithCells="1">
                  <from>
                    <xdr:col>4</xdr:col>
                    <xdr:colOff>678180</xdr:colOff>
                    <xdr:row>38</xdr:row>
                    <xdr:rowOff>0</xdr:rowOff>
                  </from>
                  <to>
                    <xdr:col>4</xdr:col>
                    <xdr:colOff>887730</xdr:colOff>
                    <xdr:row>39</xdr:row>
                    <xdr:rowOff>0</xdr:rowOff>
                  </to>
                </anchor>
              </controlPr>
            </control>
          </mc:Choice>
        </mc:AlternateContent>
        <mc:AlternateContent xmlns:mc="http://schemas.openxmlformats.org/markup-compatibility/2006">
          <mc:Choice Requires="x14">
            <control shapeId="16510" r:id="rId77" name="Option Button 126">
              <controlPr defaultSize="0" autoFill="0" autoLine="0" autoPict="0">
                <anchor moveWithCells="1">
                  <from>
                    <xdr:col>4</xdr:col>
                    <xdr:colOff>674370</xdr:colOff>
                    <xdr:row>38</xdr:row>
                    <xdr:rowOff>179070</xdr:rowOff>
                  </from>
                  <to>
                    <xdr:col>4</xdr:col>
                    <xdr:colOff>887730</xdr:colOff>
                    <xdr:row>40</xdr:row>
                    <xdr:rowOff>0</xdr:rowOff>
                  </to>
                </anchor>
              </controlPr>
            </control>
          </mc:Choice>
        </mc:AlternateContent>
        <mc:AlternateContent xmlns:mc="http://schemas.openxmlformats.org/markup-compatibility/2006">
          <mc:Choice Requires="x14">
            <control shapeId="16511" r:id="rId78" name="Group Box 127">
              <controlPr defaultSize="0" autoFill="0" autoPict="0">
                <anchor moveWithCells="1">
                  <from>
                    <xdr:col>4</xdr:col>
                    <xdr:colOff>11430</xdr:colOff>
                    <xdr:row>40</xdr:row>
                    <xdr:rowOff>228600</xdr:rowOff>
                  </from>
                  <to>
                    <xdr:col>4</xdr:col>
                    <xdr:colOff>1436370</xdr:colOff>
                    <xdr:row>45</xdr:row>
                    <xdr:rowOff>68580</xdr:rowOff>
                  </to>
                </anchor>
              </controlPr>
            </control>
          </mc:Choice>
        </mc:AlternateContent>
        <mc:AlternateContent xmlns:mc="http://schemas.openxmlformats.org/markup-compatibility/2006">
          <mc:Choice Requires="x14">
            <control shapeId="16512" r:id="rId79" name="Option Button 128">
              <controlPr defaultSize="0" autoFill="0" autoLine="0" autoPict="0">
                <anchor moveWithCells="1">
                  <from>
                    <xdr:col>4</xdr:col>
                    <xdr:colOff>674370</xdr:colOff>
                    <xdr:row>41</xdr:row>
                    <xdr:rowOff>0</xdr:rowOff>
                  </from>
                  <to>
                    <xdr:col>4</xdr:col>
                    <xdr:colOff>906780</xdr:colOff>
                    <xdr:row>42</xdr:row>
                    <xdr:rowOff>0</xdr:rowOff>
                  </to>
                </anchor>
              </controlPr>
            </control>
          </mc:Choice>
        </mc:AlternateContent>
        <mc:AlternateContent xmlns:mc="http://schemas.openxmlformats.org/markup-compatibility/2006">
          <mc:Choice Requires="x14">
            <control shapeId="16513" r:id="rId80" name="Option Button 129">
              <controlPr defaultSize="0" autoFill="0" autoLine="0" autoPict="0">
                <anchor moveWithCells="1">
                  <from>
                    <xdr:col>4</xdr:col>
                    <xdr:colOff>674370</xdr:colOff>
                    <xdr:row>42</xdr:row>
                    <xdr:rowOff>11430</xdr:rowOff>
                  </from>
                  <to>
                    <xdr:col>4</xdr:col>
                    <xdr:colOff>906780</xdr:colOff>
                    <xdr:row>43</xdr:row>
                    <xdr:rowOff>0</xdr:rowOff>
                  </to>
                </anchor>
              </controlPr>
            </control>
          </mc:Choice>
        </mc:AlternateContent>
        <mc:AlternateContent xmlns:mc="http://schemas.openxmlformats.org/markup-compatibility/2006">
          <mc:Choice Requires="x14">
            <control shapeId="16514" r:id="rId81" name="Option Button 130">
              <controlPr defaultSize="0" autoFill="0" autoLine="0" autoPict="0">
                <anchor moveWithCells="1">
                  <from>
                    <xdr:col>4</xdr:col>
                    <xdr:colOff>674370</xdr:colOff>
                    <xdr:row>43</xdr:row>
                    <xdr:rowOff>0</xdr:rowOff>
                  </from>
                  <to>
                    <xdr:col>4</xdr:col>
                    <xdr:colOff>906780</xdr:colOff>
                    <xdr:row>44</xdr:row>
                    <xdr:rowOff>0</xdr:rowOff>
                  </to>
                </anchor>
              </controlPr>
            </control>
          </mc:Choice>
        </mc:AlternateContent>
        <mc:AlternateContent xmlns:mc="http://schemas.openxmlformats.org/markup-compatibility/2006">
          <mc:Choice Requires="x14">
            <control shapeId="16515" r:id="rId82" name="Option Button 131">
              <controlPr defaultSize="0" autoFill="0" autoLine="0" autoPict="0">
                <anchor moveWithCells="1">
                  <from>
                    <xdr:col>4</xdr:col>
                    <xdr:colOff>674370</xdr:colOff>
                    <xdr:row>44</xdr:row>
                    <xdr:rowOff>0</xdr:rowOff>
                  </from>
                  <to>
                    <xdr:col>4</xdr:col>
                    <xdr:colOff>906780</xdr:colOff>
                    <xdr:row>45</xdr:row>
                    <xdr:rowOff>0</xdr:rowOff>
                  </to>
                </anchor>
              </controlPr>
            </control>
          </mc:Choice>
        </mc:AlternateContent>
        <mc:AlternateContent xmlns:mc="http://schemas.openxmlformats.org/markup-compatibility/2006">
          <mc:Choice Requires="x14">
            <control shapeId="16516" r:id="rId83" name="Group Box 132">
              <controlPr defaultSize="0" autoFill="0" autoPict="0">
                <anchor moveWithCells="1">
                  <from>
                    <xdr:col>4</xdr:col>
                    <xdr:colOff>11430</xdr:colOff>
                    <xdr:row>45</xdr:row>
                    <xdr:rowOff>125730</xdr:rowOff>
                  </from>
                  <to>
                    <xdr:col>4</xdr:col>
                    <xdr:colOff>1436370</xdr:colOff>
                    <xdr:row>49</xdr:row>
                    <xdr:rowOff>106680</xdr:rowOff>
                  </to>
                </anchor>
              </controlPr>
            </control>
          </mc:Choice>
        </mc:AlternateContent>
        <mc:AlternateContent xmlns:mc="http://schemas.openxmlformats.org/markup-compatibility/2006">
          <mc:Choice Requires="x14">
            <control shapeId="16517" r:id="rId84" name="Option Button 133">
              <controlPr defaultSize="0" autoFill="0" autoLine="0" autoPict="0">
                <anchor moveWithCells="1">
                  <from>
                    <xdr:col>4</xdr:col>
                    <xdr:colOff>674370</xdr:colOff>
                    <xdr:row>46</xdr:row>
                    <xdr:rowOff>11430</xdr:rowOff>
                  </from>
                  <to>
                    <xdr:col>4</xdr:col>
                    <xdr:colOff>906780</xdr:colOff>
                    <xdr:row>47</xdr:row>
                    <xdr:rowOff>0</xdr:rowOff>
                  </to>
                </anchor>
              </controlPr>
            </control>
          </mc:Choice>
        </mc:AlternateContent>
        <mc:AlternateContent xmlns:mc="http://schemas.openxmlformats.org/markup-compatibility/2006">
          <mc:Choice Requires="x14">
            <control shapeId="16518" r:id="rId85" name="Option Button 134">
              <controlPr defaultSize="0" autoFill="0" autoLine="0" autoPict="0">
                <anchor moveWithCells="1">
                  <from>
                    <xdr:col>4</xdr:col>
                    <xdr:colOff>674370</xdr:colOff>
                    <xdr:row>47</xdr:row>
                    <xdr:rowOff>0</xdr:rowOff>
                  </from>
                  <to>
                    <xdr:col>4</xdr:col>
                    <xdr:colOff>906780</xdr:colOff>
                    <xdr:row>48</xdr:row>
                    <xdr:rowOff>0</xdr:rowOff>
                  </to>
                </anchor>
              </controlPr>
            </control>
          </mc:Choice>
        </mc:AlternateContent>
        <mc:AlternateContent xmlns:mc="http://schemas.openxmlformats.org/markup-compatibility/2006">
          <mc:Choice Requires="x14">
            <control shapeId="16519" r:id="rId86" name="Option Button 135">
              <controlPr defaultSize="0" autoFill="0" autoLine="0" autoPict="0">
                <anchor moveWithCells="1">
                  <from>
                    <xdr:col>4</xdr:col>
                    <xdr:colOff>674370</xdr:colOff>
                    <xdr:row>48</xdr:row>
                    <xdr:rowOff>0</xdr:rowOff>
                  </from>
                  <to>
                    <xdr:col>4</xdr:col>
                    <xdr:colOff>906780</xdr:colOff>
                    <xdr:row>49</xdr:row>
                    <xdr:rowOff>0</xdr:rowOff>
                  </to>
                </anchor>
              </controlPr>
            </control>
          </mc:Choice>
        </mc:AlternateContent>
        <mc:AlternateContent xmlns:mc="http://schemas.openxmlformats.org/markup-compatibility/2006">
          <mc:Choice Requires="x14">
            <control shapeId="16520" r:id="rId87" name="Group Box 136">
              <controlPr defaultSize="0" autoFill="0" autoPict="0">
                <anchor moveWithCells="1">
                  <from>
                    <xdr:col>4</xdr:col>
                    <xdr:colOff>19050</xdr:colOff>
                    <xdr:row>50</xdr:row>
                    <xdr:rowOff>125730</xdr:rowOff>
                  </from>
                  <to>
                    <xdr:col>4</xdr:col>
                    <xdr:colOff>1436370</xdr:colOff>
                    <xdr:row>53</xdr:row>
                    <xdr:rowOff>38100</xdr:rowOff>
                  </to>
                </anchor>
              </controlPr>
            </control>
          </mc:Choice>
        </mc:AlternateContent>
        <mc:AlternateContent xmlns:mc="http://schemas.openxmlformats.org/markup-compatibility/2006">
          <mc:Choice Requires="x14">
            <control shapeId="16521" r:id="rId88" name="Option Button 137">
              <controlPr defaultSize="0" autoFill="0" autoLine="0" autoPict="0">
                <anchor moveWithCells="1">
                  <from>
                    <xdr:col>4</xdr:col>
                    <xdr:colOff>674370</xdr:colOff>
                    <xdr:row>51</xdr:row>
                    <xdr:rowOff>0</xdr:rowOff>
                  </from>
                  <to>
                    <xdr:col>4</xdr:col>
                    <xdr:colOff>906780</xdr:colOff>
                    <xdr:row>52</xdr:row>
                    <xdr:rowOff>0</xdr:rowOff>
                  </to>
                </anchor>
              </controlPr>
            </control>
          </mc:Choice>
        </mc:AlternateContent>
        <mc:AlternateContent xmlns:mc="http://schemas.openxmlformats.org/markup-compatibility/2006">
          <mc:Choice Requires="x14">
            <control shapeId="16522" r:id="rId89" name="Option Button 138">
              <controlPr defaultSize="0" autoFill="0" autoLine="0" autoPict="0">
                <anchor moveWithCells="1">
                  <from>
                    <xdr:col>4</xdr:col>
                    <xdr:colOff>674370</xdr:colOff>
                    <xdr:row>51</xdr:row>
                    <xdr:rowOff>201930</xdr:rowOff>
                  </from>
                  <to>
                    <xdr:col>4</xdr:col>
                    <xdr:colOff>906780</xdr:colOff>
                    <xdr:row>53</xdr:row>
                    <xdr:rowOff>0</xdr:rowOff>
                  </to>
                </anchor>
              </controlPr>
            </control>
          </mc:Choice>
        </mc:AlternateContent>
        <mc:AlternateContent xmlns:mc="http://schemas.openxmlformats.org/markup-compatibility/2006">
          <mc:Choice Requires="x14">
            <control shapeId="16523" r:id="rId90" name="Group Box 139">
              <controlPr defaultSize="0" autoFill="0" autoPict="0">
                <anchor moveWithCells="1">
                  <from>
                    <xdr:col>4</xdr:col>
                    <xdr:colOff>0</xdr:colOff>
                    <xdr:row>53</xdr:row>
                    <xdr:rowOff>106680</xdr:rowOff>
                  </from>
                  <to>
                    <xdr:col>4</xdr:col>
                    <xdr:colOff>1436370</xdr:colOff>
                    <xdr:row>58</xdr:row>
                    <xdr:rowOff>369570</xdr:rowOff>
                  </to>
                </anchor>
              </controlPr>
            </control>
          </mc:Choice>
        </mc:AlternateContent>
        <mc:AlternateContent xmlns:mc="http://schemas.openxmlformats.org/markup-compatibility/2006">
          <mc:Choice Requires="x14">
            <control shapeId="16524" r:id="rId91" name="Option Button 140">
              <controlPr defaultSize="0" autoFill="0" autoLine="0" autoPict="0">
                <anchor moveWithCells="1">
                  <from>
                    <xdr:col>4</xdr:col>
                    <xdr:colOff>666750</xdr:colOff>
                    <xdr:row>54</xdr:row>
                    <xdr:rowOff>316230</xdr:rowOff>
                  </from>
                  <to>
                    <xdr:col>4</xdr:col>
                    <xdr:colOff>906780</xdr:colOff>
                    <xdr:row>54</xdr:row>
                    <xdr:rowOff>525780</xdr:rowOff>
                  </to>
                </anchor>
              </controlPr>
            </control>
          </mc:Choice>
        </mc:AlternateContent>
        <mc:AlternateContent xmlns:mc="http://schemas.openxmlformats.org/markup-compatibility/2006">
          <mc:Choice Requires="x14">
            <control shapeId="16525" r:id="rId92" name="Option Button 141">
              <controlPr defaultSize="0" autoFill="0" autoLine="0" autoPict="0">
                <anchor moveWithCells="1">
                  <from>
                    <xdr:col>4</xdr:col>
                    <xdr:colOff>666750</xdr:colOff>
                    <xdr:row>55</xdr:row>
                    <xdr:rowOff>152400</xdr:rowOff>
                  </from>
                  <to>
                    <xdr:col>4</xdr:col>
                    <xdr:colOff>906780</xdr:colOff>
                    <xdr:row>55</xdr:row>
                    <xdr:rowOff>361950</xdr:rowOff>
                  </to>
                </anchor>
              </controlPr>
            </control>
          </mc:Choice>
        </mc:AlternateContent>
        <mc:AlternateContent xmlns:mc="http://schemas.openxmlformats.org/markup-compatibility/2006">
          <mc:Choice Requires="x14">
            <control shapeId="16527" r:id="rId93" name="Option Button 143">
              <controlPr defaultSize="0" autoFill="0" autoLine="0" autoPict="0">
                <anchor moveWithCells="1">
                  <from>
                    <xdr:col>4</xdr:col>
                    <xdr:colOff>666750</xdr:colOff>
                    <xdr:row>56</xdr:row>
                    <xdr:rowOff>95250</xdr:rowOff>
                  </from>
                  <to>
                    <xdr:col>4</xdr:col>
                    <xdr:colOff>906780</xdr:colOff>
                    <xdr:row>56</xdr:row>
                    <xdr:rowOff>316230</xdr:rowOff>
                  </to>
                </anchor>
              </controlPr>
            </control>
          </mc:Choice>
        </mc:AlternateContent>
        <mc:AlternateContent xmlns:mc="http://schemas.openxmlformats.org/markup-compatibility/2006">
          <mc:Choice Requires="x14">
            <control shapeId="16528" r:id="rId94" name="Option Button 144">
              <controlPr defaultSize="0" autoFill="0" autoLine="0" autoPict="0">
                <anchor moveWithCells="1">
                  <from>
                    <xdr:col>4</xdr:col>
                    <xdr:colOff>666750</xdr:colOff>
                    <xdr:row>57</xdr:row>
                    <xdr:rowOff>0</xdr:rowOff>
                  </from>
                  <to>
                    <xdr:col>4</xdr:col>
                    <xdr:colOff>906780</xdr:colOff>
                    <xdr:row>58</xdr:row>
                    <xdr:rowOff>0</xdr:rowOff>
                  </to>
                </anchor>
              </controlPr>
            </control>
          </mc:Choice>
        </mc:AlternateContent>
        <mc:AlternateContent xmlns:mc="http://schemas.openxmlformats.org/markup-compatibility/2006">
          <mc:Choice Requires="x14">
            <control shapeId="16529" r:id="rId95" name="Group Box 145">
              <controlPr defaultSize="0" autoFill="0" autoPict="0">
                <anchor moveWithCells="1">
                  <from>
                    <xdr:col>4</xdr:col>
                    <xdr:colOff>7620</xdr:colOff>
                    <xdr:row>58</xdr:row>
                    <xdr:rowOff>323850</xdr:rowOff>
                  </from>
                  <to>
                    <xdr:col>4</xdr:col>
                    <xdr:colOff>1436370</xdr:colOff>
                    <xdr:row>60</xdr:row>
                    <xdr:rowOff>236220</xdr:rowOff>
                  </to>
                </anchor>
              </controlPr>
            </control>
          </mc:Choice>
        </mc:AlternateContent>
        <mc:AlternateContent xmlns:mc="http://schemas.openxmlformats.org/markup-compatibility/2006">
          <mc:Choice Requires="x14">
            <control shapeId="16530" r:id="rId96" name="Option Button 146">
              <controlPr defaultSize="0" autoFill="0" autoLine="0" autoPict="0">
                <anchor moveWithCells="1">
                  <from>
                    <xdr:col>4</xdr:col>
                    <xdr:colOff>685800</xdr:colOff>
                    <xdr:row>59</xdr:row>
                    <xdr:rowOff>0</xdr:rowOff>
                  </from>
                  <to>
                    <xdr:col>4</xdr:col>
                    <xdr:colOff>895350</xdr:colOff>
                    <xdr:row>60</xdr:row>
                    <xdr:rowOff>0</xdr:rowOff>
                  </to>
                </anchor>
              </controlPr>
            </control>
          </mc:Choice>
        </mc:AlternateContent>
        <mc:AlternateContent xmlns:mc="http://schemas.openxmlformats.org/markup-compatibility/2006">
          <mc:Choice Requires="x14">
            <control shapeId="16531" r:id="rId97" name="Option Button 147">
              <controlPr defaultSize="0" autoFill="0" autoLine="0" autoPict="0">
                <anchor moveWithCells="1">
                  <from>
                    <xdr:col>4</xdr:col>
                    <xdr:colOff>685800</xdr:colOff>
                    <xdr:row>60</xdr:row>
                    <xdr:rowOff>0</xdr:rowOff>
                  </from>
                  <to>
                    <xdr:col>4</xdr:col>
                    <xdr:colOff>895350</xdr:colOff>
                    <xdr:row>60</xdr:row>
                    <xdr:rowOff>198120</xdr:rowOff>
                  </to>
                </anchor>
              </controlPr>
            </control>
          </mc:Choice>
        </mc:AlternateContent>
        <mc:AlternateContent xmlns:mc="http://schemas.openxmlformats.org/markup-compatibility/2006">
          <mc:Choice Requires="x14">
            <control shapeId="16532" r:id="rId98" name="Group Box 148">
              <controlPr defaultSize="0" autoFill="0" autoPict="0">
                <anchor moveWithCells="1">
                  <from>
                    <xdr:col>4</xdr:col>
                    <xdr:colOff>0</xdr:colOff>
                    <xdr:row>61</xdr:row>
                    <xdr:rowOff>114300</xdr:rowOff>
                  </from>
                  <to>
                    <xdr:col>4</xdr:col>
                    <xdr:colOff>1436370</xdr:colOff>
                    <xdr:row>64</xdr:row>
                    <xdr:rowOff>335280</xdr:rowOff>
                  </to>
                </anchor>
              </controlPr>
            </control>
          </mc:Choice>
        </mc:AlternateContent>
        <mc:AlternateContent xmlns:mc="http://schemas.openxmlformats.org/markup-compatibility/2006">
          <mc:Choice Requires="x14">
            <control shapeId="16533" r:id="rId99" name="Option Button 149">
              <controlPr defaultSize="0" autoFill="0" autoLine="0" autoPict="0">
                <anchor moveWithCells="1">
                  <from>
                    <xdr:col>4</xdr:col>
                    <xdr:colOff>678180</xdr:colOff>
                    <xdr:row>62</xdr:row>
                    <xdr:rowOff>0</xdr:rowOff>
                  </from>
                  <to>
                    <xdr:col>4</xdr:col>
                    <xdr:colOff>887730</xdr:colOff>
                    <xdr:row>63</xdr:row>
                    <xdr:rowOff>0</xdr:rowOff>
                  </to>
                </anchor>
              </controlPr>
            </control>
          </mc:Choice>
        </mc:AlternateContent>
        <mc:AlternateContent xmlns:mc="http://schemas.openxmlformats.org/markup-compatibility/2006">
          <mc:Choice Requires="x14">
            <control shapeId="16534" r:id="rId100" name="Option Button 150">
              <controlPr defaultSize="0" autoFill="0" autoLine="0" autoPict="0">
                <anchor moveWithCells="1">
                  <from>
                    <xdr:col>4</xdr:col>
                    <xdr:colOff>674370</xdr:colOff>
                    <xdr:row>63</xdr:row>
                    <xdr:rowOff>68580</xdr:rowOff>
                  </from>
                  <to>
                    <xdr:col>4</xdr:col>
                    <xdr:colOff>906780</xdr:colOff>
                    <xdr:row>63</xdr:row>
                    <xdr:rowOff>297180</xdr:rowOff>
                  </to>
                </anchor>
              </controlPr>
            </control>
          </mc:Choice>
        </mc:AlternateContent>
        <mc:AlternateContent xmlns:mc="http://schemas.openxmlformats.org/markup-compatibility/2006">
          <mc:Choice Requires="x14">
            <control shapeId="16535" r:id="rId101" name="Option Button 151">
              <controlPr defaultSize="0" autoFill="0" autoLine="0" autoPict="0">
                <anchor moveWithCells="1">
                  <from>
                    <xdr:col>4</xdr:col>
                    <xdr:colOff>666750</xdr:colOff>
                    <xdr:row>64</xdr:row>
                    <xdr:rowOff>64770</xdr:rowOff>
                  </from>
                  <to>
                    <xdr:col>4</xdr:col>
                    <xdr:colOff>895350</xdr:colOff>
                    <xdr:row>64</xdr:row>
                    <xdr:rowOff>297180</xdr:rowOff>
                  </to>
                </anchor>
              </controlPr>
            </control>
          </mc:Choice>
        </mc:AlternateContent>
        <mc:AlternateContent xmlns:mc="http://schemas.openxmlformats.org/markup-compatibility/2006">
          <mc:Choice Requires="x14">
            <control shapeId="16547" r:id="rId102" name="Group Box 163">
              <controlPr defaultSize="0" autoFill="0" autoPict="0">
                <anchor moveWithCells="1">
                  <from>
                    <xdr:col>5</xdr:col>
                    <xdr:colOff>152400</xdr:colOff>
                    <xdr:row>7</xdr:row>
                    <xdr:rowOff>87630</xdr:rowOff>
                  </from>
                  <to>
                    <xdr:col>6</xdr:col>
                    <xdr:colOff>1493520</xdr:colOff>
                    <xdr:row>12</xdr:row>
                    <xdr:rowOff>11430</xdr:rowOff>
                  </to>
                </anchor>
              </controlPr>
            </control>
          </mc:Choice>
        </mc:AlternateContent>
        <mc:AlternateContent xmlns:mc="http://schemas.openxmlformats.org/markup-compatibility/2006">
          <mc:Choice Requires="x14">
            <control shapeId="16548" r:id="rId103" name="Option Button 164">
              <controlPr defaultSize="0" autoFill="0" autoLine="0" autoPict="0">
                <anchor moveWithCells="1">
                  <from>
                    <xdr:col>6</xdr:col>
                    <xdr:colOff>693420</xdr:colOff>
                    <xdr:row>8</xdr:row>
                    <xdr:rowOff>0</xdr:rowOff>
                  </from>
                  <to>
                    <xdr:col>6</xdr:col>
                    <xdr:colOff>925830</xdr:colOff>
                    <xdr:row>9</xdr:row>
                    <xdr:rowOff>0</xdr:rowOff>
                  </to>
                </anchor>
              </controlPr>
            </control>
          </mc:Choice>
        </mc:AlternateContent>
        <mc:AlternateContent xmlns:mc="http://schemas.openxmlformats.org/markup-compatibility/2006">
          <mc:Choice Requires="x14">
            <control shapeId="16549" r:id="rId104" name="Option Button 165">
              <controlPr defaultSize="0" autoFill="0" autoLine="0" autoPict="0">
                <anchor moveWithCells="1">
                  <from>
                    <xdr:col>6</xdr:col>
                    <xdr:colOff>697230</xdr:colOff>
                    <xdr:row>9</xdr:row>
                    <xdr:rowOff>0</xdr:rowOff>
                  </from>
                  <to>
                    <xdr:col>6</xdr:col>
                    <xdr:colOff>925830</xdr:colOff>
                    <xdr:row>10</xdr:row>
                    <xdr:rowOff>0</xdr:rowOff>
                  </to>
                </anchor>
              </controlPr>
            </control>
          </mc:Choice>
        </mc:AlternateContent>
        <mc:AlternateContent xmlns:mc="http://schemas.openxmlformats.org/markup-compatibility/2006">
          <mc:Choice Requires="x14">
            <control shapeId="16550" r:id="rId105" name="Option Button 166">
              <controlPr defaultSize="0" autoFill="0" autoLine="0" autoPict="0">
                <anchor moveWithCells="1">
                  <from>
                    <xdr:col>6</xdr:col>
                    <xdr:colOff>697230</xdr:colOff>
                    <xdr:row>10</xdr:row>
                    <xdr:rowOff>0</xdr:rowOff>
                  </from>
                  <to>
                    <xdr:col>6</xdr:col>
                    <xdr:colOff>925830</xdr:colOff>
                    <xdr:row>11</xdr:row>
                    <xdr:rowOff>0</xdr:rowOff>
                  </to>
                </anchor>
              </controlPr>
            </control>
          </mc:Choice>
        </mc:AlternateContent>
        <mc:AlternateContent xmlns:mc="http://schemas.openxmlformats.org/markup-compatibility/2006">
          <mc:Choice Requires="x14">
            <control shapeId="16551" r:id="rId106" name="Option Button 167">
              <controlPr defaultSize="0" autoFill="0" autoLine="0" autoPict="0">
                <anchor moveWithCells="1">
                  <from>
                    <xdr:col>6</xdr:col>
                    <xdr:colOff>697230</xdr:colOff>
                    <xdr:row>11</xdr:row>
                    <xdr:rowOff>236220</xdr:rowOff>
                  </from>
                  <to>
                    <xdr:col>6</xdr:col>
                    <xdr:colOff>914400</xdr:colOff>
                    <xdr:row>11</xdr:row>
                    <xdr:rowOff>430530</xdr:rowOff>
                  </to>
                </anchor>
              </controlPr>
            </control>
          </mc:Choice>
        </mc:AlternateContent>
        <mc:AlternateContent xmlns:mc="http://schemas.openxmlformats.org/markup-compatibility/2006">
          <mc:Choice Requires="x14">
            <control shapeId="16552" r:id="rId107" name="Group Box 168">
              <controlPr defaultSize="0" autoFill="0" autoPict="0">
                <anchor moveWithCells="1">
                  <from>
                    <xdr:col>5</xdr:col>
                    <xdr:colOff>152400</xdr:colOff>
                    <xdr:row>12</xdr:row>
                    <xdr:rowOff>83820</xdr:rowOff>
                  </from>
                  <to>
                    <xdr:col>6</xdr:col>
                    <xdr:colOff>1504950</xdr:colOff>
                    <xdr:row>17</xdr:row>
                    <xdr:rowOff>57150</xdr:rowOff>
                  </to>
                </anchor>
              </controlPr>
            </control>
          </mc:Choice>
        </mc:AlternateContent>
        <mc:AlternateContent xmlns:mc="http://schemas.openxmlformats.org/markup-compatibility/2006">
          <mc:Choice Requires="x14">
            <control shapeId="16553" r:id="rId108" name="Option Button 169">
              <controlPr defaultSize="0" autoFill="0" autoLine="0" autoPict="0">
                <anchor moveWithCells="1">
                  <from>
                    <xdr:col>6</xdr:col>
                    <xdr:colOff>693420</xdr:colOff>
                    <xdr:row>13</xdr:row>
                    <xdr:rowOff>0</xdr:rowOff>
                  </from>
                  <to>
                    <xdr:col>6</xdr:col>
                    <xdr:colOff>906780</xdr:colOff>
                    <xdr:row>14</xdr:row>
                    <xdr:rowOff>0</xdr:rowOff>
                  </to>
                </anchor>
              </controlPr>
            </control>
          </mc:Choice>
        </mc:AlternateContent>
        <mc:AlternateContent xmlns:mc="http://schemas.openxmlformats.org/markup-compatibility/2006">
          <mc:Choice Requires="x14">
            <control shapeId="16562" r:id="rId109" name="Option Button 178">
              <controlPr defaultSize="0" autoFill="0" autoLine="0" autoPict="0">
                <anchor moveWithCells="1">
                  <from>
                    <xdr:col>6</xdr:col>
                    <xdr:colOff>693420</xdr:colOff>
                    <xdr:row>13</xdr:row>
                    <xdr:rowOff>179070</xdr:rowOff>
                  </from>
                  <to>
                    <xdr:col>6</xdr:col>
                    <xdr:colOff>906780</xdr:colOff>
                    <xdr:row>15</xdr:row>
                    <xdr:rowOff>0</xdr:rowOff>
                  </to>
                </anchor>
              </controlPr>
            </control>
          </mc:Choice>
        </mc:AlternateContent>
        <mc:AlternateContent xmlns:mc="http://schemas.openxmlformats.org/markup-compatibility/2006">
          <mc:Choice Requires="x14">
            <control shapeId="16563" r:id="rId110" name="Option Button 179">
              <controlPr defaultSize="0" autoFill="0" autoLine="0" autoPict="0">
                <anchor moveWithCells="1">
                  <from>
                    <xdr:col>6</xdr:col>
                    <xdr:colOff>693420</xdr:colOff>
                    <xdr:row>15</xdr:row>
                    <xdr:rowOff>171450</xdr:rowOff>
                  </from>
                  <to>
                    <xdr:col>6</xdr:col>
                    <xdr:colOff>906780</xdr:colOff>
                    <xdr:row>15</xdr:row>
                    <xdr:rowOff>354330</xdr:rowOff>
                  </to>
                </anchor>
              </controlPr>
            </control>
          </mc:Choice>
        </mc:AlternateContent>
        <mc:AlternateContent xmlns:mc="http://schemas.openxmlformats.org/markup-compatibility/2006">
          <mc:Choice Requires="x14">
            <control shapeId="16564" r:id="rId111" name="Option Button 180">
              <controlPr defaultSize="0" autoFill="0" autoLine="0" autoPict="0">
                <anchor moveWithCells="1">
                  <from>
                    <xdr:col>6</xdr:col>
                    <xdr:colOff>693420</xdr:colOff>
                    <xdr:row>16</xdr:row>
                    <xdr:rowOff>0</xdr:rowOff>
                  </from>
                  <to>
                    <xdr:col>6</xdr:col>
                    <xdr:colOff>906780</xdr:colOff>
                    <xdr:row>17</xdr:row>
                    <xdr:rowOff>0</xdr:rowOff>
                  </to>
                </anchor>
              </controlPr>
            </control>
          </mc:Choice>
        </mc:AlternateContent>
        <mc:AlternateContent xmlns:mc="http://schemas.openxmlformats.org/markup-compatibility/2006">
          <mc:Choice Requires="x14">
            <control shapeId="16565" r:id="rId112" name="Group Box 181">
              <controlPr defaultSize="0" autoFill="0" autoPict="0">
                <anchor moveWithCells="1">
                  <from>
                    <xdr:col>5</xdr:col>
                    <xdr:colOff>182880</xdr:colOff>
                    <xdr:row>17</xdr:row>
                    <xdr:rowOff>87630</xdr:rowOff>
                  </from>
                  <to>
                    <xdr:col>6</xdr:col>
                    <xdr:colOff>1466850</xdr:colOff>
                    <xdr:row>22</xdr:row>
                    <xdr:rowOff>38100</xdr:rowOff>
                  </to>
                </anchor>
              </controlPr>
            </control>
          </mc:Choice>
        </mc:AlternateContent>
        <mc:AlternateContent xmlns:mc="http://schemas.openxmlformats.org/markup-compatibility/2006">
          <mc:Choice Requires="x14">
            <control shapeId="16566" r:id="rId113" name="Option Button 182">
              <controlPr defaultSize="0" autoFill="0" autoLine="0" autoPict="0">
                <anchor moveWithCells="1">
                  <from>
                    <xdr:col>6</xdr:col>
                    <xdr:colOff>685800</xdr:colOff>
                    <xdr:row>18</xdr:row>
                    <xdr:rowOff>0</xdr:rowOff>
                  </from>
                  <to>
                    <xdr:col>6</xdr:col>
                    <xdr:colOff>914400</xdr:colOff>
                    <xdr:row>19</xdr:row>
                    <xdr:rowOff>0</xdr:rowOff>
                  </to>
                </anchor>
              </controlPr>
            </control>
          </mc:Choice>
        </mc:AlternateContent>
        <mc:AlternateContent xmlns:mc="http://schemas.openxmlformats.org/markup-compatibility/2006">
          <mc:Choice Requires="x14">
            <control shapeId="16567" r:id="rId114" name="Option Button 183">
              <controlPr defaultSize="0" autoFill="0" autoLine="0" autoPict="0">
                <anchor moveWithCells="1">
                  <from>
                    <xdr:col>6</xdr:col>
                    <xdr:colOff>685800</xdr:colOff>
                    <xdr:row>19</xdr:row>
                    <xdr:rowOff>11430</xdr:rowOff>
                  </from>
                  <to>
                    <xdr:col>6</xdr:col>
                    <xdr:colOff>914400</xdr:colOff>
                    <xdr:row>20</xdr:row>
                    <xdr:rowOff>0</xdr:rowOff>
                  </to>
                </anchor>
              </controlPr>
            </control>
          </mc:Choice>
        </mc:AlternateContent>
        <mc:AlternateContent xmlns:mc="http://schemas.openxmlformats.org/markup-compatibility/2006">
          <mc:Choice Requires="x14">
            <control shapeId="16568" r:id="rId115" name="Option Button 184">
              <controlPr defaultSize="0" autoFill="0" autoLine="0" autoPict="0">
                <anchor moveWithCells="1">
                  <from>
                    <xdr:col>6</xdr:col>
                    <xdr:colOff>685800</xdr:colOff>
                    <xdr:row>20</xdr:row>
                    <xdr:rowOff>0</xdr:rowOff>
                  </from>
                  <to>
                    <xdr:col>6</xdr:col>
                    <xdr:colOff>914400</xdr:colOff>
                    <xdr:row>21</xdr:row>
                    <xdr:rowOff>0</xdr:rowOff>
                  </to>
                </anchor>
              </controlPr>
            </control>
          </mc:Choice>
        </mc:AlternateContent>
        <mc:AlternateContent xmlns:mc="http://schemas.openxmlformats.org/markup-compatibility/2006">
          <mc:Choice Requires="x14">
            <control shapeId="16569" r:id="rId116" name="Option Button 185">
              <controlPr defaultSize="0" autoFill="0" autoLine="0" autoPict="0">
                <anchor moveWithCells="1">
                  <from>
                    <xdr:col>6</xdr:col>
                    <xdr:colOff>685800</xdr:colOff>
                    <xdr:row>21</xdr:row>
                    <xdr:rowOff>0</xdr:rowOff>
                  </from>
                  <to>
                    <xdr:col>6</xdr:col>
                    <xdr:colOff>914400</xdr:colOff>
                    <xdr:row>22</xdr:row>
                    <xdr:rowOff>0</xdr:rowOff>
                  </to>
                </anchor>
              </controlPr>
            </control>
          </mc:Choice>
        </mc:AlternateContent>
        <mc:AlternateContent xmlns:mc="http://schemas.openxmlformats.org/markup-compatibility/2006">
          <mc:Choice Requires="x14">
            <control shapeId="16570" r:id="rId117" name="Group Box 186">
              <controlPr defaultSize="0" autoFill="0" autoPict="0">
                <anchor moveWithCells="1">
                  <from>
                    <xdr:col>5</xdr:col>
                    <xdr:colOff>163830</xdr:colOff>
                    <xdr:row>22</xdr:row>
                    <xdr:rowOff>102870</xdr:rowOff>
                  </from>
                  <to>
                    <xdr:col>6</xdr:col>
                    <xdr:colOff>1474470</xdr:colOff>
                    <xdr:row>26</xdr:row>
                    <xdr:rowOff>106680</xdr:rowOff>
                  </to>
                </anchor>
              </controlPr>
            </control>
          </mc:Choice>
        </mc:AlternateContent>
        <mc:AlternateContent xmlns:mc="http://schemas.openxmlformats.org/markup-compatibility/2006">
          <mc:Choice Requires="x14">
            <control shapeId="16571" r:id="rId118" name="Option Button 187">
              <controlPr defaultSize="0" autoFill="0" autoLine="0" autoPict="0">
                <anchor moveWithCells="1">
                  <from>
                    <xdr:col>6</xdr:col>
                    <xdr:colOff>685800</xdr:colOff>
                    <xdr:row>23</xdr:row>
                    <xdr:rowOff>7620</xdr:rowOff>
                  </from>
                  <to>
                    <xdr:col>6</xdr:col>
                    <xdr:colOff>906780</xdr:colOff>
                    <xdr:row>24</xdr:row>
                    <xdr:rowOff>0</xdr:rowOff>
                  </to>
                </anchor>
              </controlPr>
            </control>
          </mc:Choice>
        </mc:AlternateContent>
        <mc:AlternateContent xmlns:mc="http://schemas.openxmlformats.org/markup-compatibility/2006">
          <mc:Choice Requires="x14">
            <control shapeId="16572" r:id="rId119" name="Option Button 188">
              <controlPr defaultSize="0" autoFill="0" autoLine="0" autoPict="0">
                <anchor moveWithCells="1">
                  <from>
                    <xdr:col>6</xdr:col>
                    <xdr:colOff>685800</xdr:colOff>
                    <xdr:row>24</xdr:row>
                    <xdr:rowOff>7620</xdr:rowOff>
                  </from>
                  <to>
                    <xdr:col>6</xdr:col>
                    <xdr:colOff>906780</xdr:colOff>
                    <xdr:row>25</xdr:row>
                    <xdr:rowOff>0</xdr:rowOff>
                  </to>
                </anchor>
              </controlPr>
            </control>
          </mc:Choice>
        </mc:AlternateContent>
        <mc:AlternateContent xmlns:mc="http://schemas.openxmlformats.org/markup-compatibility/2006">
          <mc:Choice Requires="x14">
            <control shapeId="16573" r:id="rId120" name="Option Button 189">
              <controlPr defaultSize="0" autoFill="0" autoLine="0" autoPict="0">
                <anchor moveWithCells="1">
                  <from>
                    <xdr:col>6</xdr:col>
                    <xdr:colOff>685800</xdr:colOff>
                    <xdr:row>25</xdr:row>
                    <xdr:rowOff>7620</xdr:rowOff>
                  </from>
                  <to>
                    <xdr:col>6</xdr:col>
                    <xdr:colOff>906780</xdr:colOff>
                    <xdr:row>26</xdr:row>
                    <xdr:rowOff>0</xdr:rowOff>
                  </to>
                </anchor>
              </controlPr>
            </control>
          </mc:Choice>
        </mc:AlternateContent>
        <mc:AlternateContent xmlns:mc="http://schemas.openxmlformats.org/markup-compatibility/2006">
          <mc:Choice Requires="x14">
            <control shapeId="16574" r:id="rId121" name="Group Box 190">
              <controlPr defaultSize="0" autoFill="0" autoPict="0">
                <anchor moveWithCells="1">
                  <from>
                    <xdr:col>5</xdr:col>
                    <xdr:colOff>106680</xdr:colOff>
                    <xdr:row>26</xdr:row>
                    <xdr:rowOff>228600</xdr:rowOff>
                  </from>
                  <to>
                    <xdr:col>6</xdr:col>
                    <xdr:colOff>1504950</xdr:colOff>
                    <xdr:row>30</xdr:row>
                    <xdr:rowOff>49530</xdr:rowOff>
                  </to>
                </anchor>
              </controlPr>
            </control>
          </mc:Choice>
        </mc:AlternateContent>
        <mc:AlternateContent xmlns:mc="http://schemas.openxmlformats.org/markup-compatibility/2006">
          <mc:Choice Requires="x14">
            <control shapeId="16575" r:id="rId122" name="Option Button 191">
              <controlPr defaultSize="0" autoFill="0" autoLine="0" autoPict="0">
                <anchor moveWithCells="1">
                  <from>
                    <xdr:col>6</xdr:col>
                    <xdr:colOff>685800</xdr:colOff>
                    <xdr:row>27</xdr:row>
                    <xdr:rowOff>7620</xdr:rowOff>
                  </from>
                  <to>
                    <xdr:col>6</xdr:col>
                    <xdr:colOff>906780</xdr:colOff>
                    <xdr:row>28</xdr:row>
                    <xdr:rowOff>0</xdr:rowOff>
                  </to>
                </anchor>
              </controlPr>
            </control>
          </mc:Choice>
        </mc:AlternateContent>
        <mc:AlternateContent xmlns:mc="http://schemas.openxmlformats.org/markup-compatibility/2006">
          <mc:Choice Requires="x14">
            <control shapeId="16576" r:id="rId123" name="Option Button 192">
              <controlPr defaultSize="0" autoFill="0" autoLine="0" autoPict="0">
                <anchor moveWithCells="1">
                  <from>
                    <xdr:col>6</xdr:col>
                    <xdr:colOff>685800</xdr:colOff>
                    <xdr:row>28</xdr:row>
                    <xdr:rowOff>7620</xdr:rowOff>
                  </from>
                  <to>
                    <xdr:col>6</xdr:col>
                    <xdr:colOff>906780</xdr:colOff>
                    <xdr:row>29</xdr:row>
                    <xdr:rowOff>0</xdr:rowOff>
                  </to>
                </anchor>
              </controlPr>
            </control>
          </mc:Choice>
        </mc:AlternateContent>
        <mc:AlternateContent xmlns:mc="http://schemas.openxmlformats.org/markup-compatibility/2006">
          <mc:Choice Requires="x14">
            <control shapeId="16578" r:id="rId124" name="Option Button 194">
              <controlPr defaultSize="0" autoFill="0" autoLine="0" autoPict="0">
                <anchor moveWithCells="1">
                  <from>
                    <xdr:col>6</xdr:col>
                    <xdr:colOff>685800</xdr:colOff>
                    <xdr:row>28</xdr:row>
                    <xdr:rowOff>182880</xdr:rowOff>
                  </from>
                  <to>
                    <xdr:col>6</xdr:col>
                    <xdr:colOff>906780</xdr:colOff>
                    <xdr:row>30</xdr:row>
                    <xdr:rowOff>0</xdr:rowOff>
                  </to>
                </anchor>
              </controlPr>
            </control>
          </mc:Choice>
        </mc:AlternateContent>
        <mc:AlternateContent xmlns:mc="http://schemas.openxmlformats.org/markup-compatibility/2006">
          <mc:Choice Requires="x14">
            <control shapeId="16579" r:id="rId125" name="Group Box 195">
              <controlPr defaultSize="0" autoFill="0" autoPict="0">
                <anchor moveWithCells="1">
                  <from>
                    <xdr:col>5</xdr:col>
                    <xdr:colOff>144780</xdr:colOff>
                    <xdr:row>30</xdr:row>
                    <xdr:rowOff>106680</xdr:rowOff>
                  </from>
                  <to>
                    <xdr:col>7</xdr:col>
                    <xdr:colOff>30480</xdr:colOff>
                    <xdr:row>36</xdr:row>
                    <xdr:rowOff>30480</xdr:rowOff>
                  </to>
                </anchor>
              </controlPr>
            </control>
          </mc:Choice>
        </mc:AlternateContent>
        <mc:AlternateContent xmlns:mc="http://schemas.openxmlformats.org/markup-compatibility/2006">
          <mc:Choice Requires="x14">
            <control shapeId="16581" r:id="rId126" name="Option Button 197">
              <controlPr defaultSize="0" autoFill="0" autoLine="0" autoPict="0">
                <anchor moveWithCells="1">
                  <from>
                    <xdr:col>6</xdr:col>
                    <xdr:colOff>685800</xdr:colOff>
                    <xdr:row>31</xdr:row>
                    <xdr:rowOff>7620</xdr:rowOff>
                  </from>
                  <to>
                    <xdr:col>6</xdr:col>
                    <xdr:colOff>906780</xdr:colOff>
                    <xdr:row>32</xdr:row>
                    <xdr:rowOff>0</xdr:rowOff>
                  </to>
                </anchor>
              </controlPr>
            </control>
          </mc:Choice>
        </mc:AlternateContent>
        <mc:AlternateContent xmlns:mc="http://schemas.openxmlformats.org/markup-compatibility/2006">
          <mc:Choice Requires="x14">
            <control shapeId="16587" r:id="rId127" name="Option Button 203">
              <controlPr defaultSize="0" autoFill="0" autoLine="0" autoPict="0">
                <anchor moveWithCells="1">
                  <from>
                    <xdr:col>6</xdr:col>
                    <xdr:colOff>685800</xdr:colOff>
                    <xdr:row>32</xdr:row>
                    <xdr:rowOff>76200</xdr:rowOff>
                  </from>
                  <to>
                    <xdr:col>6</xdr:col>
                    <xdr:colOff>906780</xdr:colOff>
                    <xdr:row>32</xdr:row>
                    <xdr:rowOff>297180</xdr:rowOff>
                  </to>
                </anchor>
              </controlPr>
            </control>
          </mc:Choice>
        </mc:AlternateContent>
        <mc:AlternateContent xmlns:mc="http://schemas.openxmlformats.org/markup-compatibility/2006">
          <mc:Choice Requires="x14">
            <control shapeId="16588" r:id="rId128" name="Option Button 204">
              <controlPr defaultSize="0" autoFill="0" autoLine="0" autoPict="0">
                <anchor moveWithCells="1">
                  <from>
                    <xdr:col>6</xdr:col>
                    <xdr:colOff>685800</xdr:colOff>
                    <xdr:row>33</xdr:row>
                    <xdr:rowOff>64770</xdr:rowOff>
                  </from>
                  <to>
                    <xdr:col>6</xdr:col>
                    <xdr:colOff>906780</xdr:colOff>
                    <xdr:row>33</xdr:row>
                    <xdr:rowOff>297180</xdr:rowOff>
                  </to>
                </anchor>
              </controlPr>
            </control>
          </mc:Choice>
        </mc:AlternateContent>
        <mc:AlternateContent xmlns:mc="http://schemas.openxmlformats.org/markup-compatibility/2006">
          <mc:Choice Requires="x14">
            <control shapeId="16589" r:id="rId129" name="Option Button 205">
              <controlPr defaultSize="0" autoFill="0" autoLine="0" autoPict="0">
                <anchor moveWithCells="1">
                  <from>
                    <xdr:col>6</xdr:col>
                    <xdr:colOff>678180</xdr:colOff>
                    <xdr:row>34</xdr:row>
                    <xdr:rowOff>64770</xdr:rowOff>
                  </from>
                  <to>
                    <xdr:col>6</xdr:col>
                    <xdr:colOff>906780</xdr:colOff>
                    <xdr:row>34</xdr:row>
                    <xdr:rowOff>297180</xdr:rowOff>
                  </to>
                </anchor>
              </controlPr>
            </control>
          </mc:Choice>
        </mc:AlternateContent>
        <mc:AlternateContent xmlns:mc="http://schemas.openxmlformats.org/markup-compatibility/2006">
          <mc:Choice Requires="x14">
            <control shapeId="16590" r:id="rId130" name="Option Button 206">
              <controlPr defaultSize="0" autoFill="0" autoLine="0" autoPict="0">
                <anchor moveWithCells="1">
                  <from>
                    <xdr:col>6</xdr:col>
                    <xdr:colOff>685800</xdr:colOff>
                    <xdr:row>35</xdr:row>
                    <xdr:rowOff>57150</xdr:rowOff>
                  </from>
                  <to>
                    <xdr:col>6</xdr:col>
                    <xdr:colOff>906780</xdr:colOff>
                    <xdr:row>35</xdr:row>
                    <xdr:rowOff>278130</xdr:rowOff>
                  </to>
                </anchor>
              </controlPr>
            </control>
          </mc:Choice>
        </mc:AlternateContent>
        <mc:AlternateContent xmlns:mc="http://schemas.openxmlformats.org/markup-compatibility/2006">
          <mc:Choice Requires="x14">
            <control shapeId="16591" r:id="rId131" name="Group Box 207">
              <controlPr defaultSize="0" autoFill="0" autoPict="0">
                <anchor moveWithCells="1">
                  <from>
                    <xdr:col>5</xdr:col>
                    <xdr:colOff>152400</xdr:colOff>
                    <xdr:row>36</xdr:row>
                    <xdr:rowOff>83820</xdr:rowOff>
                  </from>
                  <to>
                    <xdr:col>7</xdr:col>
                    <xdr:colOff>11430</xdr:colOff>
                    <xdr:row>40</xdr:row>
                    <xdr:rowOff>87630</xdr:rowOff>
                  </to>
                </anchor>
              </controlPr>
            </control>
          </mc:Choice>
        </mc:AlternateContent>
        <mc:AlternateContent xmlns:mc="http://schemas.openxmlformats.org/markup-compatibility/2006">
          <mc:Choice Requires="x14">
            <control shapeId="16592" r:id="rId132" name="Option Button 208">
              <controlPr defaultSize="0" autoFill="0" autoLine="0" autoPict="0">
                <anchor moveWithCells="1">
                  <from>
                    <xdr:col>6</xdr:col>
                    <xdr:colOff>678180</xdr:colOff>
                    <xdr:row>37</xdr:row>
                    <xdr:rowOff>0</xdr:rowOff>
                  </from>
                  <to>
                    <xdr:col>6</xdr:col>
                    <xdr:colOff>906780</xdr:colOff>
                    <xdr:row>38</xdr:row>
                    <xdr:rowOff>0</xdr:rowOff>
                  </to>
                </anchor>
              </controlPr>
            </control>
          </mc:Choice>
        </mc:AlternateContent>
        <mc:AlternateContent xmlns:mc="http://schemas.openxmlformats.org/markup-compatibility/2006">
          <mc:Choice Requires="x14">
            <control shapeId="16593" r:id="rId133" name="Option Button 209">
              <controlPr defaultSize="0" autoFill="0" autoLine="0" autoPict="0">
                <anchor moveWithCells="1">
                  <from>
                    <xdr:col>6</xdr:col>
                    <xdr:colOff>678180</xdr:colOff>
                    <xdr:row>38</xdr:row>
                    <xdr:rowOff>0</xdr:rowOff>
                  </from>
                  <to>
                    <xdr:col>6</xdr:col>
                    <xdr:colOff>906780</xdr:colOff>
                    <xdr:row>39</xdr:row>
                    <xdr:rowOff>0</xdr:rowOff>
                  </to>
                </anchor>
              </controlPr>
            </control>
          </mc:Choice>
        </mc:AlternateContent>
        <mc:AlternateContent xmlns:mc="http://schemas.openxmlformats.org/markup-compatibility/2006">
          <mc:Choice Requires="x14">
            <control shapeId="16594" r:id="rId134" name="Option Button 210">
              <controlPr defaultSize="0" autoFill="0" autoLine="0" autoPict="0">
                <anchor moveWithCells="1">
                  <from>
                    <xdr:col>6</xdr:col>
                    <xdr:colOff>678180</xdr:colOff>
                    <xdr:row>39</xdr:row>
                    <xdr:rowOff>0</xdr:rowOff>
                  </from>
                  <to>
                    <xdr:col>6</xdr:col>
                    <xdr:colOff>906780</xdr:colOff>
                    <xdr:row>40</xdr:row>
                    <xdr:rowOff>0</xdr:rowOff>
                  </to>
                </anchor>
              </controlPr>
            </control>
          </mc:Choice>
        </mc:AlternateContent>
        <mc:AlternateContent xmlns:mc="http://schemas.openxmlformats.org/markup-compatibility/2006">
          <mc:Choice Requires="x14">
            <control shapeId="16595" r:id="rId135" name="Group Box 211">
              <controlPr defaultSize="0" autoFill="0" autoPict="0">
                <anchor moveWithCells="1">
                  <from>
                    <xdr:col>5</xdr:col>
                    <xdr:colOff>152400</xdr:colOff>
                    <xdr:row>40</xdr:row>
                    <xdr:rowOff>228600</xdr:rowOff>
                  </from>
                  <to>
                    <xdr:col>6</xdr:col>
                    <xdr:colOff>1466850</xdr:colOff>
                    <xdr:row>45</xdr:row>
                    <xdr:rowOff>68580</xdr:rowOff>
                  </to>
                </anchor>
              </controlPr>
            </control>
          </mc:Choice>
        </mc:AlternateContent>
        <mc:AlternateContent xmlns:mc="http://schemas.openxmlformats.org/markup-compatibility/2006">
          <mc:Choice Requires="x14">
            <control shapeId="16596" r:id="rId136" name="Option Button 212">
              <controlPr defaultSize="0" autoFill="0" autoLine="0" autoPict="0">
                <anchor moveWithCells="1">
                  <from>
                    <xdr:col>6</xdr:col>
                    <xdr:colOff>674370</xdr:colOff>
                    <xdr:row>41</xdr:row>
                    <xdr:rowOff>0</xdr:rowOff>
                  </from>
                  <to>
                    <xdr:col>6</xdr:col>
                    <xdr:colOff>914400</xdr:colOff>
                    <xdr:row>42</xdr:row>
                    <xdr:rowOff>0</xdr:rowOff>
                  </to>
                </anchor>
              </controlPr>
            </control>
          </mc:Choice>
        </mc:AlternateContent>
        <mc:AlternateContent xmlns:mc="http://schemas.openxmlformats.org/markup-compatibility/2006">
          <mc:Choice Requires="x14">
            <control shapeId="16597" r:id="rId137" name="Option Button 213">
              <controlPr defaultSize="0" autoFill="0" autoLine="0" autoPict="0">
                <anchor moveWithCells="1">
                  <from>
                    <xdr:col>6</xdr:col>
                    <xdr:colOff>685800</xdr:colOff>
                    <xdr:row>42</xdr:row>
                    <xdr:rowOff>7620</xdr:rowOff>
                  </from>
                  <to>
                    <xdr:col>6</xdr:col>
                    <xdr:colOff>906780</xdr:colOff>
                    <xdr:row>43</xdr:row>
                    <xdr:rowOff>0</xdr:rowOff>
                  </to>
                </anchor>
              </controlPr>
            </control>
          </mc:Choice>
        </mc:AlternateContent>
        <mc:AlternateContent xmlns:mc="http://schemas.openxmlformats.org/markup-compatibility/2006">
          <mc:Choice Requires="x14">
            <control shapeId="16598" r:id="rId138" name="Option Button 214">
              <controlPr defaultSize="0" autoFill="0" autoLine="0" autoPict="0">
                <anchor moveWithCells="1">
                  <from>
                    <xdr:col>6</xdr:col>
                    <xdr:colOff>685800</xdr:colOff>
                    <xdr:row>43</xdr:row>
                    <xdr:rowOff>0</xdr:rowOff>
                  </from>
                  <to>
                    <xdr:col>6</xdr:col>
                    <xdr:colOff>906780</xdr:colOff>
                    <xdr:row>44</xdr:row>
                    <xdr:rowOff>0</xdr:rowOff>
                  </to>
                </anchor>
              </controlPr>
            </control>
          </mc:Choice>
        </mc:AlternateContent>
        <mc:AlternateContent xmlns:mc="http://schemas.openxmlformats.org/markup-compatibility/2006">
          <mc:Choice Requires="x14">
            <control shapeId="16599" r:id="rId139" name="Option Button 215">
              <controlPr defaultSize="0" autoFill="0" autoLine="0" autoPict="0">
                <anchor moveWithCells="1">
                  <from>
                    <xdr:col>6</xdr:col>
                    <xdr:colOff>678180</xdr:colOff>
                    <xdr:row>44</xdr:row>
                    <xdr:rowOff>0</xdr:rowOff>
                  </from>
                  <to>
                    <xdr:col>6</xdr:col>
                    <xdr:colOff>906780</xdr:colOff>
                    <xdr:row>45</xdr:row>
                    <xdr:rowOff>0</xdr:rowOff>
                  </to>
                </anchor>
              </controlPr>
            </control>
          </mc:Choice>
        </mc:AlternateContent>
        <mc:AlternateContent xmlns:mc="http://schemas.openxmlformats.org/markup-compatibility/2006">
          <mc:Choice Requires="x14">
            <control shapeId="16600" r:id="rId140" name="Group Box 216">
              <controlPr defaultSize="0" autoFill="0" autoPict="0">
                <anchor moveWithCells="1">
                  <from>
                    <xdr:col>5</xdr:col>
                    <xdr:colOff>163830</xdr:colOff>
                    <xdr:row>45</xdr:row>
                    <xdr:rowOff>125730</xdr:rowOff>
                  </from>
                  <to>
                    <xdr:col>6</xdr:col>
                    <xdr:colOff>1447800</xdr:colOff>
                    <xdr:row>49</xdr:row>
                    <xdr:rowOff>49530</xdr:rowOff>
                  </to>
                </anchor>
              </controlPr>
            </control>
          </mc:Choice>
        </mc:AlternateContent>
        <mc:AlternateContent xmlns:mc="http://schemas.openxmlformats.org/markup-compatibility/2006">
          <mc:Choice Requires="x14">
            <control shapeId="16601" r:id="rId141" name="Option Button 217">
              <controlPr defaultSize="0" autoFill="0" autoLine="0" autoPict="0">
                <anchor moveWithCells="1">
                  <from>
                    <xdr:col>6</xdr:col>
                    <xdr:colOff>685800</xdr:colOff>
                    <xdr:row>46</xdr:row>
                    <xdr:rowOff>11430</xdr:rowOff>
                  </from>
                  <to>
                    <xdr:col>6</xdr:col>
                    <xdr:colOff>906780</xdr:colOff>
                    <xdr:row>47</xdr:row>
                    <xdr:rowOff>0</xdr:rowOff>
                  </to>
                </anchor>
              </controlPr>
            </control>
          </mc:Choice>
        </mc:AlternateContent>
        <mc:AlternateContent xmlns:mc="http://schemas.openxmlformats.org/markup-compatibility/2006">
          <mc:Choice Requires="x14">
            <control shapeId="16602" r:id="rId142" name="Option Button 218">
              <controlPr defaultSize="0" autoFill="0" autoLine="0" autoPict="0">
                <anchor moveWithCells="1">
                  <from>
                    <xdr:col>6</xdr:col>
                    <xdr:colOff>678180</xdr:colOff>
                    <xdr:row>47</xdr:row>
                    <xdr:rowOff>0</xdr:rowOff>
                  </from>
                  <to>
                    <xdr:col>6</xdr:col>
                    <xdr:colOff>906780</xdr:colOff>
                    <xdr:row>48</xdr:row>
                    <xdr:rowOff>0</xdr:rowOff>
                  </to>
                </anchor>
              </controlPr>
            </control>
          </mc:Choice>
        </mc:AlternateContent>
        <mc:AlternateContent xmlns:mc="http://schemas.openxmlformats.org/markup-compatibility/2006">
          <mc:Choice Requires="x14">
            <control shapeId="16603" r:id="rId143" name="Option Button 219">
              <controlPr defaultSize="0" autoFill="0" autoLine="0" autoPict="0">
                <anchor moveWithCells="1">
                  <from>
                    <xdr:col>6</xdr:col>
                    <xdr:colOff>678180</xdr:colOff>
                    <xdr:row>48</xdr:row>
                    <xdr:rowOff>0</xdr:rowOff>
                  </from>
                  <to>
                    <xdr:col>6</xdr:col>
                    <xdr:colOff>906780</xdr:colOff>
                    <xdr:row>49</xdr:row>
                    <xdr:rowOff>0</xdr:rowOff>
                  </to>
                </anchor>
              </controlPr>
            </control>
          </mc:Choice>
        </mc:AlternateContent>
        <mc:AlternateContent xmlns:mc="http://schemas.openxmlformats.org/markup-compatibility/2006">
          <mc:Choice Requires="x14">
            <control shapeId="16604" r:id="rId144" name="Group Box 220">
              <controlPr defaultSize="0" autoFill="0" autoPict="0">
                <anchor moveWithCells="1">
                  <from>
                    <xdr:col>5</xdr:col>
                    <xdr:colOff>163830</xdr:colOff>
                    <xdr:row>50</xdr:row>
                    <xdr:rowOff>83820</xdr:rowOff>
                  </from>
                  <to>
                    <xdr:col>6</xdr:col>
                    <xdr:colOff>1485900</xdr:colOff>
                    <xdr:row>53</xdr:row>
                    <xdr:rowOff>57150</xdr:rowOff>
                  </to>
                </anchor>
              </controlPr>
            </control>
          </mc:Choice>
        </mc:AlternateContent>
        <mc:AlternateContent xmlns:mc="http://schemas.openxmlformats.org/markup-compatibility/2006">
          <mc:Choice Requires="x14">
            <control shapeId="16605" r:id="rId145" name="Option Button 221">
              <controlPr defaultSize="0" autoFill="0" autoLine="0" autoPict="0">
                <anchor moveWithCells="1">
                  <from>
                    <xdr:col>6</xdr:col>
                    <xdr:colOff>678180</xdr:colOff>
                    <xdr:row>51</xdr:row>
                    <xdr:rowOff>7620</xdr:rowOff>
                  </from>
                  <to>
                    <xdr:col>6</xdr:col>
                    <xdr:colOff>906780</xdr:colOff>
                    <xdr:row>52</xdr:row>
                    <xdr:rowOff>0</xdr:rowOff>
                  </to>
                </anchor>
              </controlPr>
            </control>
          </mc:Choice>
        </mc:AlternateContent>
        <mc:AlternateContent xmlns:mc="http://schemas.openxmlformats.org/markup-compatibility/2006">
          <mc:Choice Requires="x14">
            <control shapeId="16606" r:id="rId146" name="Option Button 222">
              <controlPr defaultSize="0" autoFill="0" autoLine="0" autoPict="0">
                <anchor moveWithCells="1">
                  <from>
                    <xdr:col>6</xdr:col>
                    <xdr:colOff>685800</xdr:colOff>
                    <xdr:row>52</xdr:row>
                    <xdr:rowOff>0</xdr:rowOff>
                  </from>
                  <to>
                    <xdr:col>6</xdr:col>
                    <xdr:colOff>906780</xdr:colOff>
                    <xdr:row>53</xdr:row>
                    <xdr:rowOff>0</xdr:rowOff>
                  </to>
                </anchor>
              </controlPr>
            </control>
          </mc:Choice>
        </mc:AlternateContent>
        <mc:AlternateContent xmlns:mc="http://schemas.openxmlformats.org/markup-compatibility/2006">
          <mc:Choice Requires="x14">
            <control shapeId="16607" r:id="rId147" name="Group Box 223">
              <controlPr defaultSize="0" autoFill="0" autoPict="0">
                <anchor moveWithCells="1">
                  <from>
                    <xdr:col>5</xdr:col>
                    <xdr:colOff>171450</xdr:colOff>
                    <xdr:row>53</xdr:row>
                    <xdr:rowOff>102870</xdr:rowOff>
                  </from>
                  <to>
                    <xdr:col>6</xdr:col>
                    <xdr:colOff>1466850</xdr:colOff>
                    <xdr:row>58</xdr:row>
                    <xdr:rowOff>236220</xdr:rowOff>
                  </to>
                </anchor>
              </controlPr>
            </control>
          </mc:Choice>
        </mc:AlternateContent>
        <mc:AlternateContent xmlns:mc="http://schemas.openxmlformats.org/markup-compatibility/2006">
          <mc:Choice Requires="x14">
            <control shapeId="16608" r:id="rId148" name="Option Button 224">
              <controlPr defaultSize="0" autoFill="0" autoLine="0" autoPict="0">
                <anchor moveWithCells="1">
                  <from>
                    <xdr:col>6</xdr:col>
                    <xdr:colOff>666750</xdr:colOff>
                    <xdr:row>54</xdr:row>
                    <xdr:rowOff>331470</xdr:rowOff>
                  </from>
                  <to>
                    <xdr:col>6</xdr:col>
                    <xdr:colOff>925830</xdr:colOff>
                    <xdr:row>54</xdr:row>
                    <xdr:rowOff>563880</xdr:rowOff>
                  </to>
                </anchor>
              </controlPr>
            </control>
          </mc:Choice>
        </mc:AlternateContent>
        <mc:AlternateContent xmlns:mc="http://schemas.openxmlformats.org/markup-compatibility/2006">
          <mc:Choice Requires="x14">
            <control shapeId="16609" r:id="rId149" name="Option Button 225">
              <controlPr defaultSize="0" autoFill="0" autoLine="0" autoPict="0">
                <anchor moveWithCells="1">
                  <from>
                    <xdr:col>6</xdr:col>
                    <xdr:colOff>666750</xdr:colOff>
                    <xdr:row>55</xdr:row>
                    <xdr:rowOff>160020</xdr:rowOff>
                  </from>
                  <to>
                    <xdr:col>6</xdr:col>
                    <xdr:colOff>914400</xdr:colOff>
                    <xdr:row>55</xdr:row>
                    <xdr:rowOff>392430</xdr:rowOff>
                  </to>
                </anchor>
              </controlPr>
            </control>
          </mc:Choice>
        </mc:AlternateContent>
        <mc:AlternateContent xmlns:mc="http://schemas.openxmlformats.org/markup-compatibility/2006">
          <mc:Choice Requires="x14">
            <control shapeId="16610" r:id="rId150" name="Option Button 226">
              <controlPr defaultSize="0" autoFill="0" autoLine="0" autoPict="0">
                <anchor moveWithCells="1">
                  <from>
                    <xdr:col>6</xdr:col>
                    <xdr:colOff>678180</xdr:colOff>
                    <xdr:row>56</xdr:row>
                    <xdr:rowOff>57150</xdr:rowOff>
                  </from>
                  <to>
                    <xdr:col>6</xdr:col>
                    <xdr:colOff>906780</xdr:colOff>
                    <xdr:row>56</xdr:row>
                    <xdr:rowOff>278130</xdr:rowOff>
                  </to>
                </anchor>
              </controlPr>
            </control>
          </mc:Choice>
        </mc:AlternateContent>
        <mc:AlternateContent xmlns:mc="http://schemas.openxmlformats.org/markup-compatibility/2006">
          <mc:Choice Requires="x14">
            <control shapeId="16611" r:id="rId151" name="Option Button 227">
              <controlPr defaultSize="0" autoFill="0" autoLine="0" autoPict="0">
                <anchor moveWithCells="1">
                  <from>
                    <xdr:col>6</xdr:col>
                    <xdr:colOff>666750</xdr:colOff>
                    <xdr:row>57</xdr:row>
                    <xdr:rowOff>0</xdr:rowOff>
                  </from>
                  <to>
                    <xdr:col>6</xdr:col>
                    <xdr:colOff>925830</xdr:colOff>
                    <xdr:row>58</xdr:row>
                    <xdr:rowOff>0</xdr:rowOff>
                  </to>
                </anchor>
              </controlPr>
            </control>
          </mc:Choice>
        </mc:AlternateContent>
        <mc:AlternateContent xmlns:mc="http://schemas.openxmlformats.org/markup-compatibility/2006">
          <mc:Choice Requires="x14">
            <control shapeId="16612" r:id="rId152" name="Group Box 228">
              <controlPr defaultSize="0" autoFill="0" autoPict="0">
                <anchor moveWithCells="1">
                  <from>
                    <xdr:col>5</xdr:col>
                    <xdr:colOff>163830</xdr:colOff>
                    <xdr:row>58</xdr:row>
                    <xdr:rowOff>381000</xdr:rowOff>
                  </from>
                  <to>
                    <xdr:col>6</xdr:col>
                    <xdr:colOff>1474470</xdr:colOff>
                    <xdr:row>60</xdr:row>
                    <xdr:rowOff>236220</xdr:rowOff>
                  </to>
                </anchor>
              </controlPr>
            </control>
          </mc:Choice>
        </mc:AlternateContent>
        <mc:AlternateContent xmlns:mc="http://schemas.openxmlformats.org/markup-compatibility/2006">
          <mc:Choice Requires="x14">
            <control shapeId="16613" r:id="rId153" name="Option Button 229">
              <controlPr defaultSize="0" autoFill="0" autoLine="0" autoPict="0">
                <anchor moveWithCells="1">
                  <from>
                    <xdr:col>6</xdr:col>
                    <xdr:colOff>666750</xdr:colOff>
                    <xdr:row>59</xdr:row>
                    <xdr:rowOff>0</xdr:rowOff>
                  </from>
                  <to>
                    <xdr:col>6</xdr:col>
                    <xdr:colOff>925830</xdr:colOff>
                    <xdr:row>60</xdr:row>
                    <xdr:rowOff>0</xdr:rowOff>
                  </to>
                </anchor>
              </controlPr>
            </control>
          </mc:Choice>
        </mc:AlternateContent>
        <mc:AlternateContent xmlns:mc="http://schemas.openxmlformats.org/markup-compatibility/2006">
          <mc:Choice Requires="x14">
            <control shapeId="16614" r:id="rId154" name="Option Button 230">
              <controlPr defaultSize="0" autoFill="0" autoLine="0" autoPict="0">
                <anchor moveWithCells="1">
                  <from>
                    <xdr:col>6</xdr:col>
                    <xdr:colOff>666750</xdr:colOff>
                    <xdr:row>60</xdr:row>
                    <xdr:rowOff>0</xdr:rowOff>
                  </from>
                  <to>
                    <xdr:col>6</xdr:col>
                    <xdr:colOff>925830</xdr:colOff>
                    <xdr:row>60</xdr:row>
                    <xdr:rowOff>198120</xdr:rowOff>
                  </to>
                </anchor>
              </controlPr>
            </control>
          </mc:Choice>
        </mc:AlternateContent>
        <mc:AlternateContent xmlns:mc="http://schemas.openxmlformats.org/markup-compatibility/2006">
          <mc:Choice Requires="x14">
            <control shapeId="16615" r:id="rId155" name="Group Box 231">
              <controlPr defaultSize="0" autoFill="0" autoPict="0">
                <anchor moveWithCells="1">
                  <from>
                    <xdr:col>5</xdr:col>
                    <xdr:colOff>182880</xdr:colOff>
                    <xdr:row>61</xdr:row>
                    <xdr:rowOff>106680</xdr:rowOff>
                  </from>
                  <to>
                    <xdr:col>6</xdr:col>
                    <xdr:colOff>1474470</xdr:colOff>
                    <xdr:row>65</xdr:row>
                    <xdr:rowOff>57150</xdr:rowOff>
                  </to>
                </anchor>
              </controlPr>
            </control>
          </mc:Choice>
        </mc:AlternateContent>
        <mc:AlternateContent xmlns:mc="http://schemas.openxmlformats.org/markup-compatibility/2006">
          <mc:Choice Requires="x14">
            <control shapeId="16616" r:id="rId156" name="Option Button 232">
              <controlPr defaultSize="0" autoFill="0" autoLine="0" autoPict="0">
                <anchor moveWithCells="1">
                  <from>
                    <xdr:col>6</xdr:col>
                    <xdr:colOff>685800</xdr:colOff>
                    <xdr:row>62</xdr:row>
                    <xdr:rowOff>0</xdr:rowOff>
                  </from>
                  <to>
                    <xdr:col>6</xdr:col>
                    <xdr:colOff>906780</xdr:colOff>
                    <xdr:row>63</xdr:row>
                    <xdr:rowOff>0</xdr:rowOff>
                  </to>
                </anchor>
              </controlPr>
            </control>
          </mc:Choice>
        </mc:AlternateContent>
        <mc:AlternateContent xmlns:mc="http://schemas.openxmlformats.org/markup-compatibility/2006">
          <mc:Choice Requires="x14">
            <control shapeId="16617" r:id="rId157" name="Option Button 233">
              <controlPr defaultSize="0" autoFill="0" autoLine="0" autoPict="0">
                <anchor moveWithCells="1">
                  <from>
                    <xdr:col>6</xdr:col>
                    <xdr:colOff>678180</xdr:colOff>
                    <xdr:row>63</xdr:row>
                    <xdr:rowOff>83820</xdr:rowOff>
                  </from>
                  <to>
                    <xdr:col>6</xdr:col>
                    <xdr:colOff>906780</xdr:colOff>
                    <xdr:row>63</xdr:row>
                    <xdr:rowOff>297180</xdr:rowOff>
                  </to>
                </anchor>
              </controlPr>
            </control>
          </mc:Choice>
        </mc:AlternateContent>
        <mc:AlternateContent xmlns:mc="http://schemas.openxmlformats.org/markup-compatibility/2006">
          <mc:Choice Requires="x14">
            <control shapeId="16618" r:id="rId158" name="Option Button 234">
              <controlPr defaultSize="0" autoFill="0" autoLine="0" autoPict="0">
                <anchor moveWithCells="1">
                  <from>
                    <xdr:col>6</xdr:col>
                    <xdr:colOff>674370</xdr:colOff>
                    <xdr:row>64</xdr:row>
                    <xdr:rowOff>83820</xdr:rowOff>
                  </from>
                  <to>
                    <xdr:col>6</xdr:col>
                    <xdr:colOff>914400</xdr:colOff>
                    <xdr:row>64</xdr:row>
                    <xdr:rowOff>297180</xdr:rowOff>
                  </to>
                </anchor>
              </controlPr>
            </control>
          </mc:Choice>
        </mc:AlternateContent>
        <mc:AlternateContent xmlns:mc="http://schemas.openxmlformats.org/markup-compatibility/2006">
          <mc:Choice Requires="x14">
            <control shapeId="16620" r:id="rId159" name="Group Box 236">
              <controlPr defaultSize="0" autoFill="0" autoPict="0">
                <anchor moveWithCells="1">
                  <from>
                    <xdr:col>8</xdr:col>
                    <xdr:colOff>19050</xdr:colOff>
                    <xdr:row>7</xdr:row>
                    <xdr:rowOff>152400</xdr:rowOff>
                  </from>
                  <to>
                    <xdr:col>8</xdr:col>
                    <xdr:colOff>1447800</xdr:colOff>
                    <xdr:row>12</xdr:row>
                    <xdr:rowOff>30480</xdr:rowOff>
                  </to>
                </anchor>
              </controlPr>
            </control>
          </mc:Choice>
        </mc:AlternateContent>
        <mc:AlternateContent xmlns:mc="http://schemas.openxmlformats.org/markup-compatibility/2006">
          <mc:Choice Requires="x14">
            <control shapeId="16621" r:id="rId160" name="Option Button 237">
              <controlPr defaultSize="0" autoFill="0" autoLine="0" autoPict="0">
                <anchor moveWithCells="1">
                  <from>
                    <xdr:col>8</xdr:col>
                    <xdr:colOff>678180</xdr:colOff>
                    <xdr:row>8</xdr:row>
                    <xdr:rowOff>0</xdr:rowOff>
                  </from>
                  <to>
                    <xdr:col>8</xdr:col>
                    <xdr:colOff>895350</xdr:colOff>
                    <xdr:row>9</xdr:row>
                    <xdr:rowOff>0</xdr:rowOff>
                  </to>
                </anchor>
              </controlPr>
            </control>
          </mc:Choice>
        </mc:AlternateContent>
        <mc:AlternateContent xmlns:mc="http://schemas.openxmlformats.org/markup-compatibility/2006">
          <mc:Choice Requires="x14">
            <control shapeId="16622" r:id="rId161" name="Option Button 238">
              <controlPr defaultSize="0" autoFill="0" autoLine="0" autoPict="0">
                <anchor moveWithCells="1">
                  <from>
                    <xdr:col>8</xdr:col>
                    <xdr:colOff>685800</xdr:colOff>
                    <xdr:row>9</xdr:row>
                    <xdr:rowOff>11430</xdr:rowOff>
                  </from>
                  <to>
                    <xdr:col>8</xdr:col>
                    <xdr:colOff>895350</xdr:colOff>
                    <xdr:row>10</xdr:row>
                    <xdr:rowOff>0</xdr:rowOff>
                  </to>
                </anchor>
              </controlPr>
            </control>
          </mc:Choice>
        </mc:AlternateContent>
        <mc:AlternateContent xmlns:mc="http://schemas.openxmlformats.org/markup-compatibility/2006">
          <mc:Choice Requires="x14">
            <control shapeId="16623" r:id="rId162" name="Option Button 239">
              <controlPr defaultSize="0" autoFill="0" autoLine="0" autoPict="0">
                <anchor moveWithCells="1">
                  <from>
                    <xdr:col>8</xdr:col>
                    <xdr:colOff>685800</xdr:colOff>
                    <xdr:row>10</xdr:row>
                    <xdr:rowOff>0</xdr:rowOff>
                  </from>
                  <to>
                    <xdr:col>8</xdr:col>
                    <xdr:colOff>895350</xdr:colOff>
                    <xdr:row>11</xdr:row>
                    <xdr:rowOff>0</xdr:rowOff>
                  </to>
                </anchor>
              </controlPr>
            </control>
          </mc:Choice>
        </mc:AlternateContent>
        <mc:AlternateContent xmlns:mc="http://schemas.openxmlformats.org/markup-compatibility/2006">
          <mc:Choice Requires="x14">
            <control shapeId="16624" r:id="rId163" name="Option Button 240">
              <controlPr defaultSize="0" autoFill="0" autoLine="0" autoPict="0">
                <anchor moveWithCells="1">
                  <from>
                    <xdr:col>8</xdr:col>
                    <xdr:colOff>685800</xdr:colOff>
                    <xdr:row>11</xdr:row>
                    <xdr:rowOff>217170</xdr:rowOff>
                  </from>
                  <to>
                    <xdr:col>8</xdr:col>
                    <xdr:colOff>895350</xdr:colOff>
                    <xdr:row>11</xdr:row>
                    <xdr:rowOff>449580</xdr:rowOff>
                  </to>
                </anchor>
              </controlPr>
            </control>
          </mc:Choice>
        </mc:AlternateContent>
        <mc:AlternateContent xmlns:mc="http://schemas.openxmlformats.org/markup-compatibility/2006">
          <mc:Choice Requires="x14">
            <control shapeId="16625" r:id="rId164" name="Group Box 241">
              <controlPr defaultSize="0" autoFill="0" autoPict="0">
                <anchor moveWithCells="1">
                  <from>
                    <xdr:col>8</xdr:col>
                    <xdr:colOff>7620</xdr:colOff>
                    <xdr:row>12</xdr:row>
                    <xdr:rowOff>133350</xdr:rowOff>
                  </from>
                  <to>
                    <xdr:col>8</xdr:col>
                    <xdr:colOff>1436370</xdr:colOff>
                    <xdr:row>17</xdr:row>
                    <xdr:rowOff>11430</xdr:rowOff>
                  </to>
                </anchor>
              </controlPr>
            </control>
          </mc:Choice>
        </mc:AlternateContent>
        <mc:AlternateContent xmlns:mc="http://schemas.openxmlformats.org/markup-compatibility/2006">
          <mc:Choice Requires="x14">
            <control shapeId="16626" r:id="rId165" name="Option Button 242">
              <controlPr defaultSize="0" autoFill="0" autoLine="0" autoPict="0">
                <anchor moveWithCells="1">
                  <from>
                    <xdr:col>8</xdr:col>
                    <xdr:colOff>678180</xdr:colOff>
                    <xdr:row>13</xdr:row>
                    <xdr:rowOff>0</xdr:rowOff>
                  </from>
                  <to>
                    <xdr:col>8</xdr:col>
                    <xdr:colOff>914400</xdr:colOff>
                    <xdr:row>14</xdr:row>
                    <xdr:rowOff>0</xdr:rowOff>
                  </to>
                </anchor>
              </controlPr>
            </control>
          </mc:Choice>
        </mc:AlternateContent>
        <mc:AlternateContent xmlns:mc="http://schemas.openxmlformats.org/markup-compatibility/2006">
          <mc:Choice Requires="x14">
            <control shapeId="16627" r:id="rId166" name="Option Button 243">
              <controlPr defaultSize="0" autoFill="0" autoLine="0" autoPict="0">
                <anchor moveWithCells="1">
                  <from>
                    <xdr:col>8</xdr:col>
                    <xdr:colOff>674370</xdr:colOff>
                    <xdr:row>14</xdr:row>
                    <xdr:rowOff>11430</xdr:rowOff>
                  </from>
                  <to>
                    <xdr:col>8</xdr:col>
                    <xdr:colOff>925830</xdr:colOff>
                    <xdr:row>15</xdr:row>
                    <xdr:rowOff>0</xdr:rowOff>
                  </to>
                </anchor>
              </controlPr>
            </control>
          </mc:Choice>
        </mc:AlternateContent>
        <mc:AlternateContent xmlns:mc="http://schemas.openxmlformats.org/markup-compatibility/2006">
          <mc:Choice Requires="x14">
            <control shapeId="16628" r:id="rId167" name="Option Button 244">
              <controlPr defaultSize="0" autoFill="0" autoLine="0" autoPict="0">
                <anchor moveWithCells="1">
                  <from>
                    <xdr:col>8</xdr:col>
                    <xdr:colOff>678180</xdr:colOff>
                    <xdr:row>15</xdr:row>
                    <xdr:rowOff>152400</xdr:rowOff>
                  </from>
                  <to>
                    <xdr:col>8</xdr:col>
                    <xdr:colOff>914400</xdr:colOff>
                    <xdr:row>15</xdr:row>
                    <xdr:rowOff>373380</xdr:rowOff>
                  </to>
                </anchor>
              </controlPr>
            </control>
          </mc:Choice>
        </mc:AlternateContent>
        <mc:AlternateContent xmlns:mc="http://schemas.openxmlformats.org/markup-compatibility/2006">
          <mc:Choice Requires="x14">
            <control shapeId="16629" r:id="rId168" name="Option Button 245">
              <controlPr defaultSize="0" autoFill="0" autoLine="0" autoPict="0">
                <anchor moveWithCells="1">
                  <from>
                    <xdr:col>8</xdr:col>
                    <xdr:colOff>678180</xdr:colOff>
                    <xdr:row>16</xdr:row>
                    <xdr:rowOff>0</xdr:rowOff>
                  </from>
                  <to>
                    <xdr:col>8</xdr:col>
                    <xdr:colOff>914400</xdr:colOff>
                    <xdr:row>17</xdr:row>
                    <xdr:rowOff>0</xdr:rowOff>
                  </to>
                </anchor>
              </controlPr>
            </control>
          </mc:Choice>
        </mc:AlternateContent>
        <mc:AlternateContent xmlns:mc="http://schemas.openxmlformats.org/markup-compatibility/2006">
          <mc:Choice Requires="x14">
            <control shapeId="16630" r:id="rId169" name="Group Box 246">
              <controlPr defaultSize="0" autoFill="0" autoPict="0">
                <anchor moveWithCells="1">
                  <from>
                    <xdr:col>7</xdr:col>
                    <xdr:colOff>152400</xdr:colOff>
                    <xdr:row>17</xdr:row>
                    <xdr:rowOff>163830</xdr:rowOff>
                  </from>
                  <to>
                    <xdr:col>8</xdr:col>
                    <xdr:colOff>1466850</xdr:colOff>
                    <xdr:row>22</xdr:row>
                    <xdr:rowOff>49530</xdr:rowOff>
                  </to>
                </anchor>
              </controlPr>
            </control>
          </mc:Choice>
        </mc:AlternateContent>
        <mc:AlternateContent xmlns:mc="http://schemas.openxmlformats.org/markup-compatibility/2006">
          <mc:Choice Requires="x14">
            <control shapeId="16631" r:id="rId170" name="Option Button 247">
              <controlPr defaultSize="0" autoFill="0" autoLine="0" autoPict="0">
                <anchor moveWithCells="1">
                  <from>
                    <xdr:col>8</xdr:col>
                    <xdr:colOff>674370</xdr:colOff>
                    <xdr:row>18</xdr:row>
                    <xdr:rowOff>0</xdr:rowOff>
                  </from>
                  <to>
                    <xdr:col>8</xdr:col>
                    <xdr:colOff>925830</xdr:colOff>
                    <xdr:row>19</xdr:row>
                    <xdr:rowOff>0</xdr:rowOff>
                  </to>
                </anchor>
              </controlPr>
            </control>
          </mc:Choice>
        </mc:AlternateContent>
        <mc:AlternateContent xmlns:mc="http://schemas.openxmlformats.org/markup-compatibility/2006">
          <mc:Choice Requires="x14">
            <control shapeId="16632" r:id="rId171" name="Option Button 248">
              <controlPr defaultSize="0" autoFill="0" autoLine="0" autoPict="0">
                <anchor moveWithCells="1">
                  <from>
                    <xdr:col>8</xdr:col>
                    <xdr:colOff>678180</xdr:colOff>
                    <xdr:row>19</xdr:row>
                    <xdr:rowOff>7620</xdr:rowOff>
                  </from>
                  <to>
                    <xdr:col>8</xdr:col>
                    <xdr:colOff>906780</xdr:colOff>
                    <xdr:row>20</xdr:row>
                    <xdr:rowOff>0</xdr:rowOff>
                  </to>
                </anchor>
              </controlPr>
            </control>
          </mc:Choice>
        </mc:AlternateContent>
        <mc:AlternateContent xmlns:mc="http://schemas.openxmlformats.org/markup-compatibility/2006">
          <mc:Choice Requires="x14">
            <control shapeId="16633" r:id="rId172" name="Option Button 249">
              <controlPr defaultSize="0" autoFill="0" autoLine="0" autoPict="0">
                <anchor moveWithCells="1">
                  <from>
                    <xdr:col>8</xdr:col>
                    <xdr:colOff>674370</xdr:colOff>
                    <xdr:row>20</xdr:row>
                    <xdr:rowOff>0</xdr:rowOff>
                  </from>
                  <to>
                    <xdr:col>8</xdr:col>
                    <xdr:colOff>925830</xdr:colOff>
                    <xdr:row>21</xdr:row>
                    <xdr:rowOff>0</xdr:rowOff>
                  </to>
                </anchor>
              </controlPr>
            </control>
          </mc:Choice>
        </mc:AlternateContent>
        <mc:AlternateContent xmlns:mc="http://schemas.openxmlformats.org/markup-compatibility/2006">
          <mc:Choice Requires="x14">
            <control shapeId="16634" r:id="rId173" name="Option Button 250">
              <controlPr defaultSize="0" autoFill="0" autoLine="0" autoPict="0">
                <anchor moveWithCells="1">
                  <from>
                    <xdr:col>8</xdr:col>
                    <xdr:colOff>674370</xdr:colOff>
                    <xdr:row>21</xdr:row>
                    <xdr:rowOff>7620</xdr:rowOff>
                  </from>
                  <to>
                    <xdr:col>8</xdr:col>
                    <xdr:colOff>925830</xdr:colOff>
                    <xdr:row>22</xdr:row>
                    <xdr:rowOff>0</xdr:rowOff>
                  </to>
                </anchor>
              </controlPr>
            </control>
          </mc:Choice>
        </mc:AlternateContent>
        <mc:AlternateContent xmlns:mc="http://schemas.openxmlformats.org/markup-compatibility/2006">
          <mc:Choice Requires="x14">
            <control shapeId="16635" r:id="rId174" name="Group Box 251">
              <controlPr defaultSize="0" autoFill="0" autoPict="0">
                <anchor moveWithCells="1">
                  <from>
                    <xdr:col>7</xdr:col>
                    <xdr:colOff>163830</xdr:colOff>
                    <xdr:row>22</xdr:row>
                    <xdr:rowOff>121920</xdr:rowOff>
                  </from>
                  <to>
                    <xdr:col>8</xdr:col>
                    <xdr:colOff>1436370</xdr:colOff>
                    <xdr:row>26</xdr:row>
                    <xdr:rowOff>57150</xdr:rowOff>
                  </to>
                </anchor>
              </controlPr>
            </control>
          </mc:Choice>
        </mc:AlternateContent>
        <mc:AlternateContent xmlns:mc="http://schemas.openxmlformats.org/markup-compatibility/2006">
          <mc:Choice Requires="x14">
            <control shapeId="16639" r:id="rId175" name="Option Button 255">
              <controlPr defaultSize="0" autoFill="0" autoLine="0" autoPict="0">
                <anchor moveWithCells="1">
                  <from>
                    <xdr:col>8</xdr:col>
                    <xdr:colOff>678180</xdr:colOff>
                    <xdr:row>23</xdr:row>
                    <xdr:rowOff>7620</xdr:rowOff>
                  </from>
                  <to>
                    <xdr:col>8</xdr:col>
                    <xdr:colOff>906780</xdr:colOff>
                    <xdr:row>24</xdr:row>
                    <xdr:rowOff>0</xdr:rowOff>
                  </to>
                </anchor>
              </controlPr>
            </control>
          </mc:Choice>
        </mc:AlternateContent>
        <mc:AlternateContent xmlns:mc="http://schemas.openxmlformats.org/markup-compatibility/2006">
          <mc:Choice Requires="x14">
            <control shapeId="16640" r:id="rId176" name="Option Button 256">
              <controlPr defaultSize="0" autoFill="0" autoLine="0" autoPict="0">
                <anchor moveWithCells="1">
                  <from>
                    <xdr:col>8</xdr:col>
                    <xdr:colOff>678180</xdr:colOff>
                    <xdr:row>24</xdr:row>
                    <xdr:rowOff>7620</xdr:rowOff>
                  </from>
                  <to>
                    <xdr:col>8</xdr:col>
                    <xdr:colOff>906780</xdr:colOff>
                    <xdr:row>25</xdr:row>
                    <xdr:rowOff>0</xdr:rowOff>
                  </to>
                </anchor>
              </controlPr>
            </control>
          </mc:Choice>
        </mc:AlternateContent>
        <mc:AlternateContent xmlns:mc="http://schemas.openxmlformats.org/markup-compatibility/2006">
          <mc:Choice Requires="x14">
            <control shapeId="16641" r:id="rId177" name="Option Button 257">
              <controlPr defaultSize="0" autoFill="0" autoLine="0" autoPict="0">
                <anchor moveWithCells="1">
                  <from>
                    <xdr:col>8</xdr:col>
                    <xdr:colOff>678180</xdr:colOff>
                    <xdr:row>25</xdr:row>
                    <xdr:rowOff>7620</xdr:rowOff>
                  </from>
                  <to>
                    <xdr:col>8</xdr:col>
                    <xdr:colOff>906780</xdr:colOff>
                    <xdr:row>26</xdr:row>
                    <xdr:rowOff>0</xdr:rowOff>
                  </to>
                </anchor>
              </controlPr>
            </control>
          </mc:Choice>
        </mc:AlternateContent>
        <mc:AlternateContent xmlns:mc="http://schemas.openxmlformats.org/markup-compatibility/2006">
          <mc:Choice Requires="x14">
            <control shapeId="16642" r:id="rId178" name="Group Box 258">
              <controlPr defaultSize="0" autoFill="0" autoPict="0">
                <anchor moveWithCells="1">
                  <from>
                    <xdr:col>8</xdr:col>
                    <xdr:colOff>0</xdr:colOff>
                    <xdr:row>26</xdr:row>
                    <xdr:rowOff>255270</xdr:rowOff>
                  </from>
                  <to>
                    <xdr:col>8</xdr:col>
                    <xdr:colOff>1485900</xdr:colOff>
                    <xdr:row>30</xdr:row>
                    <xdr:rowOff>49530</xdr:rowOff>
                  </to>
                </anchor>
              </controlPr>
            </control>
          </mc:Choice>
        </mc:AlternateContent>
        <mc:AlternateContent xmlns:mc="http://schemas.openxmlformats.org/markup-compatibility/2006">
          <mc:Choice Requires="x14">
            <control shapeId="16643" r:id="rId179" name="Option Button 259">
              <controlPr defaultSize="0" autoFill="0" autoLine="0" autoPict="0">
                <anchor moveWithCells="1">
                  <from>
                    <xdr:col>8</xdr:col>
                    <xdr:colOff>678180</xdr:colOff>
                    <xdr:row>27</xdr:row>
                    <xdr:rowOff>0</xdr:rowOff>
                  </from>
                  <to>
                    <xdr:col>8</xdr:col>
                    <xdr:colOff>914400</xdr:colOff>
                    <xdr:row>28</xdr:row>
                    <xdr:rowOff>0</xdr:rowOff>
                  </to>
                </anchor>
              </controlPr>
            </control>
          </mc:Choice>
        </mc:AlternateContent>
        <mc:AlternateContent xmlns:mc="http://schemas.openxmlformats.org/markup-compatibility/2006">
          <mc:Choice Requires="x14">
            <control shapeId="16644" r:id="rId180" name="Option Button 260">
              <controlPr defaultSize="0" autoFill="0" autoLine="0" autoPict="0">
                <anchor moveWithCells="1">
                  <from>
                    <xdr:col>8</xdr:col>
                    <xdr:colOff>678180</xdr:colOff>
                    <xdr:row>28</xdr:row>
                    <xdr:rowOff>0</xdr:rowOff>
                  </from>
                  <to>
                    <xdr:col>8</xdr:col>
                    <xdr:colOff>906780</xdr:colOff>
                    <xdr:row>29</xdr:row>
                    <xdr:rowOff>0</xdr:rowOff>
                  </to>
                </anchor>
              </controlPr>
            </control>
          </mc:Choice>
        </mc:AlternateContent>
        <mc:AlternateContent xmlns:mc="http://schemas.openxmlformats.org/markup-compatibility/2006">
          <mc:Choice Requires="x14">
            <control shapeId="16645" r:id="rId181" name="Option Button 261">
              <controlPr defaultSize="0" autoFill="0" autoLine="0" autoPict="0">
                <anchor moveWithCells="1">
                  <from>
                    <xdr:col>8</xdr:col>
                    <xdr:colOff>678180</xdr:colOff>
                    <xdr:row>29</xdr:row>
                    <xdr:rowOff>0</xdr:rowOff>
                  </from>
                  <to>
                    <xdr:col>8</xdr:col>
                    <xdr:colOff>906780</xdr:colOff>
                    <xdr:row>30</xdr:row>
                    <xdr:rowOff>0</xdr:rowOff>
                  </to>
                </anchor>
              </controlPr>
            </control>
          </mc:Choice>
        </mc:AlternateContent>
        <mc:AlternateContent xmlns:mc="http://schemas.openxmlformats.org/markup-compatibility/2006">
          <mc:Choice Requires="x14">
            <control shapeId="16646" r:id="rId182" name="Group Box 262">
              <controlPr defaultSize="0" autoFill="0" autoPict="0">
                <anchor moveWithCells="1">
                  <from>
                    <xdr:col>7</xdr:col>
                    <xdr:colOff>152400</xdr:colOff>
                    <xdr:row>30</xdr:row>
                    <xdr:rowOff>125730</xdr:rowOff>
                  </from>
                  <to>
                    <xdr:col>8</xdr:col>
                    <xdr:colOff>1493520</xdr:colOff>
                    <xdr:row>36</xdr:row>
                    <xdr:rowOff>49530</xdr:rowOff>
                  </to>
                </anchor>
              </controlPr>
            </control>
          </mc:Choice>
        </mc:AlternateContent>
        <mc:AlternateContent xmlns:mc="http://schemas.openxmlformats.org/markup-compatibility/2006">
          <mc:Choice Requires="x14">
            <control shapeId="16647" r:id="rId183" name="Option Button 263">
              <controlPr defaultSize="0" autoFill="0" autoLine="0" autoPict="0">
                <anchor moveWithCells="1">
                  <from>
                    <xdr:col>8</xdr:col>
                    <xdr:colOff>678180</xdr:colOff>
                    <xdr:row>31</xdr:row>
                    <xdr:rowOff>7620</xdr:rowOff>
                  </from>
                  <to>
                    <xdr:col>8</xdr:col>
                    <xdr:colOff>906780</xdr:colOff>
                    <xdr:row>32</xdr:row>
                    <xdr:rowOff>0</xdr:rowOff>
                  </to>
                </anchor>
              </controlPr>
            </control>
          </mc:Choice>
        </mc:AlternateContent>
        <mc:AlternateContent xmlns:mc="http://schemas.openxmlformats.org/markup-compatibility/2006">
          <mc:Choice Requires="x14">
            <control shapeId="16648" r:id="rId184" name="Option Button 264">
              <controlPr defaultSize="0" autoFill="0" autoLine="0" autoPict="0">
                <anchor moveWithCells="1">
                  <from>
                    <xdr:col>8</xdr:col>
                    <xdr:colOff>678180</xdr:colOff>
                    <xdr:row>32</xdr:row>
                    <xdr:rowOff>64770</xdr:rowOff>
                  </from>
                  <to>
                    <xdr:col>8</xdr:col>
                    <xdr:colOff>906780</xdr:colOff>
                    <xdr:row>32</xdr:row>
                    <xdr:rowOff>304800</xdr:rowOff>
                  </to>
                </anchor>
              </controlPr>
            </control>
          </mc:Choice>
        </mc:AlternateContent>
        <mc:AlternateContent xmlns:mc="http://schemas.openxmlformats.org/markup-compatibility/2006">
          <mc:Choice Requires="x14">
            <control shapeId="16649" r:id="rId185" name="Option Button 265">
              <controlPr defaultSize="0" autoFill="0" autoLine="0" autoPict="0">
                <anchor moveWithCells="1">
                  <from>
                    <xdr:col>8</xdr:col>
                    <xdr:colOff>685800</xdr:colOff>
                    <xdr:row>33</xdr:row>
                    <xdr:rowOff>64770</xdr:rowOff>
                  </from>
                  <to>
                    <xdr:col>8</xdr:col>
                    <xdr:colOff>906780</xdr:colOff>
                    <xdr:row>33</xdr:row>
                    <xdr:rowOff>297180</xdr:rowOff>
                  </to>
                </anchor>
              </controlPr>
            </control>
          </mc:Choice>
        </mc:AlternateContent>
        <mc:AlternateContent xmlns:mc="http://schemas.openxmlformats.org/markup-compatibility/2006">
          <mc:Choice Requires="x14">
            <control shapeId="16650" r:id="rId186" name="Option Button 266">
              <controlPr defaultSize="0" autoFill="0" autoLine="0" autoPict="0">
                <anchor moveWithCells="1">
                  <from>
                    <xdr:col>8</xdr:col>
                    <xdr:colOff>678180</xdr:colOff>
                    <xdr:row>34</xdr:row>
                    <xdr:rowOff>64770</xdr:rowOff>
                  </from>
                  <to>
                    <xdr:col>8</xdr:col>
                    <xdr:colOff>906780</xdr:colOff>
                    <xdr:row>34</xdr:row>
                    <xdr:rowOff>297180</xdr:rowOff>
                  </to>
                </anchor>
              </controlPr>
            </control>
          </mc:Choice>
        </mc:AlternateContent>
        <mc:AlternateContent xmlns:mc="http://schemas.openxmlformats.org/markup-compatibility/2006">
          <mc:Choice Requires="x14">
            <control shapeId="16651" r:id="rId187" name="Option Button 267">
              <controlPr defaultSize="0" autoFill="0" autoLine="0" autoPict="0">
                <anchor moveWithCells="1">
                  <from>
                    <xdr:col>8</xdr:col>
                    <xdr:colOff>678180</xdr:colOff>
                    <xdr:row>35</xdr:row>
                    <xdr:rowOff>45720</xdr:rowOff>
                  </from>
                  <to>
                    <xdr:col>8</xdr:col>
                    <xdr:colOff>906780</xdr:colOff>
                    <xdr:row>35</xdr:row>
                    <xdr:rowOff>285750</xdr:rowOff>
                  </to>
                </anchor>
              </controlPr>
            </control>
          </mc:Choice>
        </mc:AlternateContent>
        <mc:AlternateContent xmlns:mc="http://schemas.openxmlformats.org/markup-compatibility/2006">
          <mc:Choice Requires="x14">
            <control shapeId="16652" r:id="rId188" name="Group Box 268">
              <controlPr defaultSize="0" autoFill="0" autoPict="0">
                <anchor moveWithCells="1">
                  <from>
                    <xdr:col>7</xdr:col>
                    <xdr:colOff>144780</xdr:colOff>
                    <xdr:row>36</xdr:row>
                    <xdr:rowOff>125730</xdr:rowOff>
                  </from>
                  <to>
                    <xdr:col>8</xdr:col>
                    <xdr:colOff>1485900</xdr:colOff>
                    <xdr:row>40</xdr:row>
                    <xdr:rowOff>125730</xdr:rowOff>
                  </to>
                </anchor>
              </controlPr>
            </control>
          </mc:Choice>
        </mc:AlternateContent>
        <mc:AlternateContent xmlns:mc="http://schemas.openxmlformats.org/markup-compatibility/2006">
          <mc:Choice Requires="x14">
            <control shapeId="16653" r:id="rId189" name="Option Button 269">
              <controlPr defaultSize="0" autoFill="0" autoLine="0" autoPict="0">
                <anchor moveWithCells="1">
                  <from>
                    <xdr:col>8</xdr:col>
                    <xdr:colOff>685800</xdr:colOff>
                    <xdr:row>37</xdr:row>
                    <xdr:rowOff>0</xdr:rowOff>
                  </from>
                  <to>
                    <xdr:col>8</xdr:col>
                    <xdr:colOff>906780</xdr:colOff>
                    <xdr:row>38</xdr:row>
                    <xdr:rowOff>0</xdr:rowOff>
                  </to>
                </anchor>
              </controlPr>
            </control>
          </mc:Choice>
        </mc:AlternateContent>
        <mc:AlternateContent xmlns:mc="http://schemas.openxmlformats.org/markup-compatibility/2006">
          <mc:Choice Requires="x14">
            <control shapeId="16654" r:id="rId190" name="Option Button 270">
              <controlPr defaultSize="0" autoFill="0" autoLine="0" autoPict="0">
                <anchor moveWithCells="1">
                  <from>
                    <xdr:col>8</xdr:col>
                    <xdr:colOff>685800</xdr:colOff>
                    <xdr:row>38</xdr:row>
                    <xdr:rowOff>0</xdr:rowOff>
                  </from>
                  <to>
                    <xdr:col>8</xdr:col>
                    <xdr:colOff>906780</xdr:colOff>
                    <xdr:row>39</xdr:row>
                    <xdr:rowOff>0</xdr:rowOff>
                  </to>
                </anchor>
              </controlPr>
            </control>
          </mc:Choice>
        </mc:AlternateContent>
        <mc:AlternateContent xmlns:mc="http://schemas.openxmlformats.org/markup-compatibility/2006">
          <mc:Choice Requires="x14">
            <control shapeId="16655" r:id="rId191" name="Option Button 271">
              <controlPr defaultSize="0" autoFill="0" autoLine="0" autoPict="0">
                <anchor moveWithCells="1">
                  <from>
                    <xdr:col>8</xdr:col>
                    <xdr:colOff>678180</xdr:colOff>
                    <xdr:row>38</xdr:row>
                    <xdr:rowOff>182880</xdr:rowOff>
                  </from>
                  <to>
                    <xdr:col>8</xdr:col>
                    <xdr:colOff>906780</xdr:colOff>
                    <xdr:row>40</xdr:row>
                    <xdr:rowOff>0</xdr:rowOff>
                  </to>
                </anchor>
              </controlPr>
            </control>
          </mc:Choice>
        </mc:AlternateContent>
        <mc:AlternateContent xmlns:mc="http://schemas.openxmlformats.org/markup-compatibility/2006">
          <mc:Choice Requires="x14">
            <control shapeId="16656" r:id="rId192" name="Group Box 272">
              <controlPr defaultSize="0" autoFill="0" autoPict="0">
                <anchor moveWithCells="1">
                  <from>
                    <xdr:col>7</xdr:col>
                    <xdr:colOff>121920</xdr:colOff>
                    <xdr:row>40</xdr:row>
                    <xdr:rowOff>259080</xdr:rowOff>
                  </from>
                  <to>
                    <xdr:col>8</xdr:col>
                    <xdr:colOff>1504950</xdr:colOff>
                    <xdr:row>45</xdr:row>
                    <xdr:rowOff>49530</xdr:rowOff>
                  </to>
                </anchor>
              </controlPr>
            </control>
          </mc:Choice>
        </mc:AlternateContent>
        <mc:AlternateContent xmlns:mc="http://schemas.openxmlformats.org/markup-compatibility/2006">
          <mc:Choice Requires="x14">
            <control shapeId="16657" r:id="rId193" name="Option Button 273">
              <controlPr defaultSize="0" autoFill="0" autoLine="0" autoPict="0">
                <anchor moveWithCells="1">
                  <from>
                    <xdr:col>8</xdr:col>
                    <xdr:colOff>678180</xdr:colOff>
                    <xdr:row>41</xdr:row>
                    <xdr:rowOff>0</xdr:rowOff>
                  </from>
                  <to>
                    <xdr:col>8</xdr:col>
                    <xdr:colOff>914400</xdr:colOff>
                    <xdr:row>42</xdr:row>
                    <xdr:rowOff>0</xdr:rowOff>
                  </to>
                </anchor>
              </controlPr>
            </control>
          </mc:Choice>
        </mc:AlternateContent>
        <mc:AlternateContent xmlns:mc="http://schemas.openxmlformats.org/markup-compatibility/2006">
          <mc:Choice Requires="x14">
            <control shapeId="16658" r:id="rId194" name="Option Button 274">
              <controlPr defaultSize="0" autoFill="0" autoLine="0" autoPict="0">
                <anchor moveWithCells="1">
                  <from>
                    <xdr:col>8</xdr:col>
                    <xdr:colOff>685800</xdr:colOff>
                    <xdr:row>42</xdr:row>
                    <xdr:rowOff>7620</xdr:rowOff>
                  </from>
                  <to>
                    <xdr:col>8</xdr:col>
                    <xdr:colOff>906780</xdr:colOff>
                    <xdr:row>43</xdr:row>
                    <xdr:rowOff>0</xdr:rowOff>
                  </to>
                </anchor>
              </controlPr>
            </control>
          </mc:Choice>
        </mc:AlternateContent>
        <mc:AlternateContent xmlns:mc="http://schemas.openxmlformats.org/markup-compatibility/2006">
          <mc:Choice Requires="x14">
            <control shapeId="16659" r:id="rId195" name="Option Button 275">
              <controlPr defaultSize="0" autoFill="0" autoLine="0" autoPict="0">
                <anchor moveWithCells="1">
                  <from>
                    <xdr:col>8</xdr:col>
                    <xdr:colOff>685800</xdr:colOff>
                    <xdr:row>43</xdr:row>
                    <xdr:rowOff>0</xdr:rowOff>
                  </from>
                  <to>
                    <xdr:col>8</xdr:col>
                    <xdr:colOff>906780</xdr:colOff>
                    <xdr:row>44</xdr:row>
                    <xdr:rowOff>0</xdr:rowOff>
                  </to>
                </anchor>
              </controlPr>
            </control>
          </mc:Choice>
        </mc:AlternateContent>
        <mc:AlternateContent xmlns:mc="http://schemas.openxmlformats.org/markup-compatibility/2006">
          <mc:Choice Requires="x14">
            <control shapeId="16660" r:id="rId196" name="Option Button 276">
              <controlPr defaultSize="0" autoFill="0" autoLine="0" autoPict="0">
                <anchor moveWithCells="1">
                  <from>
                    <xdr:col>8</xdr:col>
                    <xdr:colOff>685800</xdr:colOff>
                    <xdr:row>44</xdr:row>
                    <xdr:rowOff>0</xdr:rowOff>
                  </from>
                  <to>
                    <xdr:col>8</xdr:col>
                    <xdr:colOff>906780</xdr:colOff>
                    <xdr:row>45</xdr:row>
                    <xdr:rowOff>0</xdr:rowOff>
                  </to>
                </anchor>
              </controlPr>
            </control>
          </mc:Choice>
        </mc:AlternateContent>
        <mc:AlternateContent xmlns:mc="http://schemas.openxmlformats.org/markup-compatibility/2006">
          <mc:Choice Requires="x14">
            <control shapeId="16661" r:id="rId197" name="Group Box 277">
              <controlPr defaultSize="0" autoFill="0" autoPict="0">
                <anchor moveWithCells="1">
                  <from>
                    <xdr:col>7</xdr:col>
                    <xdr:colOff>121920</xdr:colOff>
                    <xdr:row>45</xdr:row>
                    <xdr:rowOff>133350</xdr:rowOff>
                  </from>
                  <to>
                    <xdr:col>8</xdr:col>
                    <xdr:colOff>1474470</xdr:colOff>
                    <xdr:row>49</xdr:row>
                    <xdr:rowOff>57150</xdr:rowOff>
                  </to>
                </anchor>
              </controlPr>
            </control>
          </mc:Choice>
        </mc:AlternateContent>
        <mc:AlternateContent xmlns:mc="http://schemas.openxmlformats.org/markup-compatibility/2006">
          <mc:Choice Requires="x14">
            <control shapeId="16662" r:id="rId198" name="Option Button 278">
              <controlPr defaultSize="0" autoFill="0" autoLine="0" autoPict="0">
                <anchor moveWithCells="1">
                  <from>
                    <xdr:col>8</xdr:col>
                    <xdr:colOff>678180</xdr:colOff>
                    <xdr:row>46</xdr:row>
                    <xdr:rowOff>11430</xdr:rowOff>
                  </from>
                  <to>
                    <xdr:col>8</xdr:col>
                    <xdr:colOff>906780</xdr:colOff>
                    <xdr:row>47</xdr:row>
                    <xdr:rowOff>0</xdr:rowOff>
                  </to>
                </anchor>
              </controlPr>
            </control>
          </mc:Choice>
        </mc:AlternateContent>
        <mc:AlternateContent xmlns:mc="http://schemas.openxmlformats.org/markup-compatibility/2006">
          <mc:Choice Requires="x14">
            <control shapeId="16663" r:id="rId199" name="Option Button 279">
              <controlPr defaultSize="0" autoFill="0" autoLine="0" autoPict="0">
                <anchor moveWithCells="1">
                  <from>
                    <xdr:col>8</xdr:col>
                    <xdr:colOff>685800</xdr:colOff>
                    <xdr:row>47</xdr:row>
                    <xdr:rowOff>0</xdr:rowOff>
                  </from>
                  <to>
                    <xdr:col>8</xdr:col>
                    <xdr:colOff>906780</xdr:colOff>
                    <xdr:row>48</xdr:row>
                    <xdr:rowOff>0</xdr:rowOff>
                  </to>
                </anchor>
              </controlPr>
            </control>
          </mc:Choice>
        </mc:AlternateContent>
        <mc:AlternateContent xmlns:mc="http://schemas.openxmlformats.org/markup-compatibility/2006">
          <mc:Choice Requires="x14">
            <control shapeId="16664" r:id="rId200" name="Option Button 280">
              <controlPr defaultSize="0" autoFill="0" autoLine="0" autoPict="0">
                <anchor moveWithCells="1">
                  <from>
                    <xdr:col>8</xdr:col>
                    <xdr:colOff>685800</xdr:colOff>
                    <xdr:row>48</xdr:row>
                    <xdr:rowOff>11430</xdr:rowOff>
                  </from>
                  <to>
                    <xdr:col>8</xdr:col>
                    <xdr:colOff>906780</xdr:colOff>
                    <xdr:row>49</xdr:row>
                    <xdr:rowOff>0</xdr:rowOff>
                  </to>
                </anchor>
              </controlPr>
            </control>
          </mc:Choice>
        </mc:AlternateContent>
        <mc:AlternateContent xmlns:mc="http://schemas.openxmlformats.org/markup-compatibility/2006">
          <mc:Choice Requires="x14">
            <control shapeId="16665" r:id="rId201" name="Group Box 281">
              <controlPr defaultSize="0" autoFill="0" autoPict="0">
                <anchor moveWithCells="1">
                  <from>
                    <xdr:col>7</xdr:col>
                    <xdr:colOff>163830</xdr:colOff>
                    <xdr:row>50</xdr:row>
                    <xdr:rowOff>106680</xdr:rowOff>
                  </from>
                  <to>
                    <xdr:col>8</xdr:col>
                    <xdr:colOff>1504950</xdr:colOff>
                    <xdr:row>53</xdr:row>
                    <xdr:rowOff>57150</xdr:rowOff>
                  </to>
                </anchor>
              </controlPr>
            </control>
          </mc:Choice>
        </mc:AlternateContent>
        <mc:AlternateContent xmlns:mc="http://schemas.openxmlformats.org/markup-compatibility/2006">
          <mc:Choice Requires="x14">
            <control shapeId="16666" r:id="rId202" name="Option Button 282">
              <controlPr defaultSize="0" autoFill="0" autoLine="0" autoPict="0">
                <anchor moveWithCells="1">
                  <from>
                    <xdr:col>8</xdr:col>
                    <xdr:colOff>678180</xdr:colOff>
                    <xdr:row>51</xdr:row>
                    <xdr:rowOff>0</xdr:rowOff>
                  </from>
                  <to>
                    <xdr:col>8</xdr:col>
                    <xdr:colOff>906780</xdr:colOff>
                    <xdr:row>52</xdr:row>
                    <xdr:rowOff>0</xdr:rowOff>
                  </to>
                </anchor>
              </controlPr>
            </control>
          </mc:Choice>
        </mc:AlternateContent>
        <mc:AlternateContent xmlns:mc="http://schemas.openxmlformats.org/markup-compatibility/2006">
          <mc:Choice Requires="x14">
            <control shapeId="16667" r:id="rId203" name="Option Button 283">
              <controlPr defaultSize="0" autoFill="0" autoLine="0" autoPict="0">
                <anchor moveWithCells="1">
                  <from>
                    <xdr:col>8</xdr:col>
                    <xdr:colOff>678180</xdr:colOff>
                    <xdr:row>51</xdr:row>
                    <xdr:rowOff>198120</xdr:rowOff>
                  </from>
                  <to>
                    <xdr:col>8</xdr:col>
                    <xdr:colOff>906780</xdr:colOff>
                    <xdr:row>53</xdr:row>
                    <xdr:rowOff>0</xdr:rowOff>
                  </to>
                </anchor>
              </controlPr>
            </control>
          </mc:Choice>
        </mc:AlternateContent>
        <mc:AlternateContent xmlns:mc="http://schemas.openxmlformats.org/markup-compatibility/2006">
          <mc:Choice Requires="x14">
            <control shapeId="16668" r:id="rId204" name="Group Box 284">
              <controlPr defaultSize="0" autoFill="0" autoPict="0">
                <anchor moveWithCells="1">
                  <from>
                    <xdr:col>7</xdr:col>
                    <xdr:colOff>125730</xdr:colOff>
                    <xdr:row>53</xdr:row>
                    <xdr:rowOff>106680</xdr:rowOff>
                  </from>
                  <to>
                    <xdr:col>8</xdr:col>
                    <xdr:colOff>1485900</xdr:colOff>
                    <xdr:row>58</xdr:row>
                    <xdr:rowOff>350520</xdr:rowOff>
                  </to>
                </anchor>
              </controlPr>
            </control>
          </mc:Choice>
        </mc:AlternateContent>
        <mc:AlternateContent xmlns:mc="http://schemas.openxmlformats.org/markup-compatibility/2006">
          <mc:Choice Requires="x14">
            <control shapeId="16669" r:id="rId205" name="Option Button 285">
              <controlPr defaultSize="0" autoFill="0" autoLine="0" autoPict="0">
                <anchor moveWithCells="1">
                  <from>
                    <xdr:col>8</xdr:col>
                    <xdr:colOff>693420</xdr:colOff>
                    <xdr:row>54</xdr:row>
                    <xdr:rowOff>335280</xdr:rowOff>
                  </from>
                  <to>
                    <xdr:col>8</xdr:col>
                    <xdr:colOff>906780</xdr:colOff>
                    <xdr:row>54</xdr:row>
                    <xdr:rowOff>563880</xdr:rowOff>
                  </to>
                </anchor>
              </controlPr>
            </control>
          </mc:Choice>
        </mc:AlternateContent>
        <mc:AlternateContent xmlns:mc="http://schemas.openxmlformats.org/markup-compatibility/2006">
          <mc:Choice Requires="x14">
            <control shapeId="16670" r:id="rId206" name="Option Button 286">
              <controlPr defaultSize="0" autoFill="0" autoLine="0" autoPict="0">
                <anchor moveWithCells="1">
                  <from>
                    <xdr:col>8</xdr:col>
                    <xdr:colOff>685800</xdr:colOff>
                    <xdr:row>55</xdr:row>
                    <xdr:rowOff>144780</xdr:rowOff>
                  </from>
                  <to>
                    <xdr:col>8</xdr:col>
                    <xdr:colOff>906780</xdr:colOff>
                    <xdr:row>55</xdr:row>
                    <xdr:rowOff>373380</xdr:rowOff>
                  </to>
                </anchor>
              </controlPr>
            </control>
          </mc:Choice>
        </mc:AlternateContent>
        <mc:AlternateContent xmlns:mc="http://schemas.openxmlformats.org/markup-compatibility/2006">
          <mc:Choice Requires="x14">
            <control shapeId="16671" r:id="rId207" name="Option Button 287">
              <controlPr defaultSize="0" autoFill="0" autoLine="0" autoPict="0">
                <anchor moveWithCells="1">
                  <from>
                    <xdr:col>8</xdr:col>
                    <xdr:colOff>685800</xdr:colOff>
                    <xdr:row>56</xdr:row>
                    <xdr:rowOff>45720</xdr:rowOff>
                  </from>
                  <to>
                    <xdr:col>8</xdr:col>
                    <xdr:colOff>906780</xdr:colOff>
                    <xdr:row>56</xdr:row>
                    <xdr:rowOff>278130</xdr:rowOff>
                  </to>
                </anchor>
              </controlPr>
            </control>
          </mc:Choice>
        </mc:AlternateContent>
        <mc:AlternateContent xmlns:mc="http://schemas.openxmlformats.org/markup-compatibility/2006">
          <mc:Choice Requires="x14">
            <control shapeId="16672" r:id="rId208" name="Option Button 288">
              <controlPr defaultSize="0" autoFill="0" autoLine="0" autoPict="0">
                <anchor moveWithCells="1">
                  <from>
                    <xdr:col>8</xdr:col>
                    <xdr:colOff>685800</xdr:colOff>
                    <xdr:row>57</xdr:row>
                    <xdr:rowOff>7620</xdr:rowOff>
                  </from>
                  <to>
                    <xdr:col>8</xdr:col>
                    <xdr:colOff>906780</xdr:colOff>
                    <xdr:row>58</xdr:row>
                    <xdr:rowOff>0</xdr:rowOff>
                  </to>
                </anchor>
              </controlPr>
            </control>
          </mc:Choice>
        </mc:AlternateContent>
        <mc:AlternateContent xmlns:mc="http://schemas.openxmlformats.org/markup-compatibility/2006">
          <mc:Choice Requires="x14">
            <control shapeId="16673" r:id="rId209" name="Group Box 289">
              <controlPr defaultSize="0" autoFill="0" autoPict="0">
                <anchor moveWithCells="1">
                  <from>
                    <xdr:col>7</xdr:col>
                    <xdr:colOff>152400</xdr:colOff>
                    <xdr:row>58</xdr:row>
                    <xdr:rowOff>407670</xdr:rowOff>
                  </from>
                  <to>
                    <xdr:col>8</xdr:col>
                    <xdr:colOff>1485900</xdr:colOff>
                    <xdr:row>60</xdr:row>
                    <xdr:rowOff>247650</xdr:rowOff>
                  </to>
                </anchor>
              </controlPr>
            </control>
          </mc:Choice>
        </mc:AlternateContent>
        <mc:AlternateContent xmlns:mc="http://schemas.openxmlformats.org/markup-compatibility/2006">
          <mc:Choice Requires="x14">
            <control shapeId="16674" r:id="rId210" name="Option Button 290">
              <controlPr defaultSize="0" autoFill="0" autoLine="0" autoPict="0">
                <anchor moveWithCells="1">
                  <from>
                    <xdr:col>8</xdr:col>
                    <xdr:colOff>678180</xdr:colOff>
                    <xdr:row>59</xdr:row>
                    <xdr:rowOff>0</xdr:rowOff>
                  </from>
                  <to>
                    <xdr:col>8</xdr:col>
                    <xdr:colOff>906780</xdr:colOff>
                    <xdr:row>60</xdr:row>
                    <xdr:rowOff>0</xdr:rowOff>
                  </to>
                </anchor>
              </controlPr>
            </control>
          </mc:Choice>
        </mc:AlternateContent>
        <mc:AlternateContent xmlns:mc="http://schemas.openxmlformats.org/markup-compatibility/2006">
          <mc:Choice Requires="x14">
            <control shapeId="16675" r:id="rId211" name="Option Button 291">
              <controlPr defaultSize="0" autoFill="0" autoLine="0" autoPict="0">
                <anchor moveWithCells="1">
                  <from>
                    <xdr:col>8</xdr:col>
                    <xdr:colOff>678180</xdr:colOff>
                    <xdr:row>60</xdr:row>
                    <xdr:rowOff>0</xdr:rowOff>
                  </from>
                  <to>
                    <xdr:col>8</xdr:col>
                    <xdr:colOff>906780</xdr:colOff>
                    <xdr:row>60</xdr:row>
                    <xdr:rowOff>198120</xdr:rowOff>
                  </to>
                </anchor>
              </controlPr>
            </control>
          </mc:Choice>
        </mc:AlternateContent>
        <mc:AlternateContent xmlns:mc="http://schemas.openxmlformats.org/markup-compatibility/2006">
          <mc:Choice Requires="x14">
            <control shapeId="16676" r:id="rId212" name="Group Box 292">
              <controlPr defaultSize="0" autoFill="0" autoPict="0">
                <anchor moveWithCells="1">
                  <from>
                    <xdr:col>7</xdr:col>
                    <xdr:colOff>106680</xdr:colOff>
                    <xdr:row>61</xdr:row>
                    <xdr:rowOff>102870</xdr:rowOff>
                  </from>
                  <to>
                    <xdr:col>9</xdr:col>
                    <xdr:colOff>11430</xdr:colOff>
                    <xdr:row>65</xdr:row>
                    <xdr:rowOff>68580</xdr:rowOff>
                  </to>
                </anchor>
              </controlPr>
            </control>
          </mc:Choice>
        </mc:AlternateContent>
        <mc:AlternateContent xmlns:mc="http://schemas.openxmlformats.org/markup-compatibility/2006">
          <mc:Choice Requires="x14">
            <control shapeId="16677" r:id="rId213" name="Option Button 293">
              <controlPr defaultSize="0" autoFill="0" autoLine="0" autoPict="0">
                <anchor moveWithCells="1">
                  <from>
                    <xdr:col>8</xdr:col>
                    <xdr:colOff>678180</xdr:colOff>
                    <xdr:row>62</xdr:row>
                    <xdr:rowOff>0</xdr:rowOff>
                  </from>
                  <to>
                    <xdr:col>8</xdr:col>
                    <xdr:colOff>906780</xdr:colOff>
                    <xdr:row>63</xdr:row>
                    <xdr:rowOff>0</xdr:rowOff>
                  </to>
                </anchor>
              </controlPr>
            </control>
          </mc:Choice>
        </mc:AlternateContent>
        <mc:AlternateContent xmlns:mc="http://schemas.openxmlformats.org/markup-compatibility/2006">
          <mc:Choice Requires="x14">
            <control shapeId="16678" r:id="rId214" name="Option Button 294">
              <controlPr defaultSize="0" autoFill="0" autoLine="0" autoPict="0">
                <anchor moveWithCells="1">
                  <from>
                    <xdr:col>8</xdr:col>
                    <xdr:colOff>678180</xdr:colOff>
                    <xdr:row>63</xdr:row>
                    <xdr:rowOff>83820</xdr:rowOff>
                  </from>
                  <to>
                    <xdr:col>8</xdr:col>
                    <xdr:colOff>906780</xdr:colOff>
                    <xdr:row>63</xdr:row>
                    <xdr:rowOff>304800</xdr:rowOff>
                  </to>
                </anchor>
              </controlPr>
            </control>
          </mc:Choice>
        </mc:AlternateContent>
        <mc:AlternateContent xmlns:mc="http://schemas.openxmlformats.org/markup-compatibility/2006">
          <mc:Choice Requires="x14">
            <control shapeId="16679" r:id="rId215" name="Option Button 295">
              <controlPr defaultSize="0" autoFill="0" autoLine="0" autoPict="0">
                <anchor moveWithCells="1">
                  <from>
                    <xdr:col>8</xdr:col>
                    <xdr:colOff>678180</xdr:colOff>
                    <xdr:row>64</xdr:row>
                    <xdr:rowOff>83820</xdr:rowOff>
                  </from>
                  <to>
                    <xdr:col>8</xdr:col>
                    <xdr:colOff>906780</xdr:colOff>
                    <xdr:row>64</xdr:row>
                    <xdr:rowOff>304800</xdr:rowOff>
                  </to>
                </anchor>
              </controlPr>
            </control>
          </mc:Choice>
        </mc:AlternateContent>
        <mc:AlternateContent xmlns:mc="http://schemas.openxmlformats.org/markup-compatibility/2006">
          <mc:Choice Requires="x14">
            <control shapeId="16680" r:id="rId216" name="Group Box 296">
              <controlPr defaultSize="0" autoFill="0" autoPict="0">
                <anchor moveWithCells="1">
                  <from>
                    <xdr:col>9</xdr:col>
                    <xdr:colOff>163830</xdr:colOff>
                    <xdr:row>7</xdr:row>
                    <xdr:rowOff>87630</xdr:rowOff>
                  </from>
                  <to>
                    <xdr:col>10</xdr:col>
                    <xdr:colOff>1493520</xdr:colOff>
                    <xdr:row>12</xdr:row>
                    <xdr:rowOff>38100</xdr:rowOff>
                  </to>
                </anchor>
              </controlPr>
            </control>
          </mc:Choice>
        </mc:AlternateContent>
        <mc:AlternateContent xmlns:mc="http://schemas.openxmlformats.org/markup-compatibility/2006">
          <mc:Choice Requires="x14">
            <control shapeId="16681" r:id="rId217" name="Option Button 297">
              <controlPr defaultSize="0" autoFill="0" autoLine="0" autoPict="0">
                <anchor moveWithCells="1">
                  <from>
                    <xdr:col>10</xdr:col>
                    <xdr:colOff>678180</xdr:colOff>
                    <xdr:row>8</xdr:row>
                    <xdr:rowOff>0</xdr:rowOff>
                  </from>
                  <to>
                    <xdr:col>10</xdr:col>
                    <xdr:colOff>906780</xdr:colOff>
                    <xdr:row>9</xdr:row>
                    <xdr:rowOff>0</xdr:rowOff>
                  </to>
                </anchor>
              </controlPr>
            </control>
          </mc:Choice>
        </mc:AlternateContent>
        <mc:AlternateContent xmlns:mc="http://schemas.openxmlformats.org/markup-compatibility/2006">
          <mc:Choice Requires="x14">
            <control shapeId="16682" r:id="rId218" name="Option Button 298">
              <controlPr defaultSize="0" autoFill="0" autoLine="0" autoPict="0">
                <anchor moveWithCells="1">
                  <from>
                    <xdr:col>10</xdr:col>
                    <xdr:colOff>678180</xdr:colOff>
                    <xdr:row>9</xdr:row>
                    <xdr:rowOff>7620</xdr:rowOff>
                  </from>
                  <to>
                    <xdr:col>10</xdr:col>
                    <xdr:colOff>906780</xdr:colOff>
                    <xdr:row>10</xdr:row>
                    <xdr:rowOff>0</xdr:rowOff>
                  </to>
                </anchor>
              </controlPr>
            </control>
          </mc:Choice>
        </mc:AlternateContent>
        <mc:AlternateContent xmlns:mc="http://schemas.openxmlformats.org/markup-compatibility/2006">
          <mc:Choice Requires="x14">
            <control shapeId="16683" r:id="rId219" name="Option Button 299">
              <controlPr defaultSize="0" autoFill="0" autoLine="0" autoPict="0">
                <anchor moveWithCells="1">
                  <from>
                    <xdr:col>10</xdr:col>
                    <xdr:colOff>674370</xdr:colOff>
                    <xdr:row>10</xdr:row>
                    <xdr:rowOff>0</xdr:rowOff>
                  </from>
                  <to>
                    <xdr:col>10</xdr:col>
                    <xdr:colOff>914400</xdr:colOff>
                    <xdr:row>11</xdr:row>
                    <xdr:rowOff>0</xdr:rowOff>
                  </to>
                </anchor>
              </controlPr>
            </control>
          </mc:Choice>
        </mc:AlternateContent>
        <mc:AlternateContent xmlns:mc="http://schemas.openxmlformats.org/markup-compatibility/2006">
          <mc:Choice Requires="x14">
            <control shapeId="16684" r:id="rId220" name="Option Button 300">
              <controlPr defaultSize="0" autoFill="0" autoLine="0" autoPict="0">
                <anchor moveWithCells="1">
                  <from>
                    <xdr:col>10</xdr:col>
                    <xdr:colOff>674370</xdr:colOff>
                    <xdr:row>11</xdr:row>
                    <xdr:rowOff>228600</xdr:rowOff>
                  </from>
                  <to>
                    <xdr:col>10</xdr:col>
                    <xdr:colOff>914400</xdr:colOff>
                    <xdr:row>11</xdr:row>
                    <xdr:rowOff>449580</xdr:rowOff>
                  </to>
                </anchor>
              </controlPr>
            </control>
          </mc:Choice>
        </mc:AlternateContent>
        <mc:AlternateContent xmlns:mc="http://schemas.openxmlformats.org/markup-compatibility/2006">
          <mc:Choice Requires="x14">
            <control shapeId="16685" r:id="rId221" name="Group Box 301">
              <controlPr defaultSize="0" autoFill="0" autoPict="0">
                <anchor moveWithCells="1">
                  <from>
                    <xdr:col>9</xdr:col>
                    <xdr:colOff>144780</xdr:colOff>
                    <xdr:row>12</xdr:row>
                    <xdr:rowOff>87630</xdr:rowOff>
                  </from>
                  <to>
                    <xdr:col>10</xdr:col>
                    <xdr:colOff>1485900</xdr:colOff>
                    <xdr:row>17</xdr:row>
                    <xdr:rowOff>57150</xdr:rowOff>
                  </to>
                </anchor>
              </controlPr>
            </control>
          </mc:Choice>
        </mc:AlternateContent>
        <mc:AlternateContent xmlns:mc="http://schemas.openxmlformats.org/markup-compatibility/2006">
          <mc:Choice Requires="x14">
            <control shapeId="16686" r:id="rId222" name="Option Button 302">
              <controlPr defaultSize="0" autoFill="0" autoLine="0" autoPict="0">
                <anchor moveWithCells="1">
                  <from>
                    <xdr:col>10</xdr:col>
                    <xdr:colOff>678180</xdr:colOff>
                    <xdr:row>13</xdr:row>
                    <xdr:rowOff>0</xdr:rowOff>
                  </from>
                  <to>
                    <xdr:col>10</xdr:col>
                    <xdr:colOff>906780</xdr:colOff>
                    <xdr:row>14</xdr:row>
                    <xdr:rowOff>0</xdr:rowOff>
                  </to>
                </anchor>
              </controlPr>
            </control>
          </mc:Choice>
        </mc:AlternateContent>
        <mc:AlternateContent xmlns:mc="http://schemas.openxmlformats.org/markup-compatibility/2006">
          <mc:Choice Requires="x14">
            <control shapeId="16687" r:id="rId223" name="Option Button 303">
              <controlPr defaultSize="0" autoFill="0" autoLine="0" autoPict="0">
                <anchor moveWithCells="1">
                  <from>
                    <xdr:col>10</xdr:col>
                    <xdr:colOff>678180</xdr:colOff>
                    <xdr:row>14</xdr:row>
                    <xdr:rowOff>7620</xdr:rowOff>
                  </from>
                  <to>
                    <xdr:col>10</xdr:col>
                    <xdr:colOff>906780</xdr:colOff>
                    <xdr:row>15</xdr:row>
                    <xdr:rowOff>0</xdr:rowOff>
                  </to>
                </anchor>
              </controlPr>
            </control>
          </mc:Choice>
        </mc:AlternateContent>
        <mc:AlternateContent xmlns:mc="http://schemas.openxmlformats.org/markup-compatibility/2006">
          <mc:Choice Requires="x14">
            <control shapeId="16688" r:id="rId224" name="Option Button 304">
              <controlPr defaultSize="0" autoFill="0" autoLine="0" autoPict="0">
                <anchor moveWithCells="1">
                  <from>
                    <xdr:col>10</xdr:col>
                    <xdr:colOff>674370</xdr:colOff>
                    <xdr:row>15</xdr:row>
                    <xdr:rowOff>140970</xdr:rowOff>
                  </from>
                  <to>
                    <xdr:col>10</xdr:col>
                    <xdr:colOff>906780</xdr:colOff>
                    <xdr:row>15</xdr:row>
                    <xdr:rowOff>373380</xdr:rowOff>
                  </to>
                </anchor>
              </controlPr>
            </control>
          </mc:Choice>
        </mc:AlternateContent>
        <mc:AlternateContent xmlns:mc="http://schemas.openxmlformats.org/markup-compatibility/2006">
          <mc:Choice Requires="x14">
            <control shapeId="16689" r:id="rId225" name="Option Button 305">
              <controlPr defaultSize="0" autoFill="0" autoLine="0" autoPict="0">
                <anchor moveWithCells="1">
                  <from>
                    <xdr:col>10</xdr:col>
                    <xdr:colOff>678180</xdr:colOff>
                    <xdr:row>16</xdr:row>
                    <xdr:rowOff>0</xdr:rowOff>
                  </from>
                  <to>
                    <xdr:col>10</xdr:col>
                    <xdr:colOff>906780</xdr:colOff>
                    <xdr:row>17</xdr:row>
                    <xdr:rowOff>0</xdr:rowOff>
                  </to>
                </anchor>
              </controlPr>
            </control>
          </mc:Choice>
        </mc:AlternateContent>
        <mc:AlternateContent xmlns:mc="http://schemas.openxmlformats.org/markup-compatibility/2006">
          <mc:Choice Requires="x14">
            <control shapeId="16690" r:id="rId226" name="Group Box 306">
              <controlPr defaultSize="0" autoFill="0" autoPict="0">
                <anchor moveWithCells="1">
                  <from>
                    <xdr:col>9</xdr:col>
                    <xdr:colOff>144780</xdr:colOff>
                    <xdr:row>17</xdr:row>
                    <xdr:rowOff>121920</xdr:rowOff>
                  </from>
                  <to>
                    <xdr:col>10</xdr:col>
                    <xdr:colOff>1493520</xdr:colOff>
                    <xdr:row>22</xdr:row>
                    <xdr:rowOff>38100</xdr:rowOff>
                  </to>
                </anchor>
              </controlPr>
            </control>
          </mc:Choice>
        </mc:AlternateContent>
        <mc:AlternateContent xmlns:mc="http://schemas.openxmlformats.org/markup-compatibility/2006">
          <mc:Choice Requires="x14">
            <control shapeId="16691" r:id="rId227" name="Option Button 307">
              <controlPr defaultSize="0" autoFill="0" autoLine="0" autoPict="0">
                <anchor moveWithCells="1">
                  <from>
                    <xdr:col>10</xdr:col>
                    <xdr:colOff>678180</xdr:colOff>
                    <xdr:row>18</xdr:row>
                    <xdr:rowOff>0</xdr:rowOff>
                  </from>
                  <to>
                    <xdr:col>10</xdr:col>
                    <xdr:colOff>906780</xdr:colOff>
                    <xdr:row>19</xdr:row>
                    <xdr:rowOff>0</xdr:rowOff>
                  </to>
                </anchor>
              </controlPr>
            </control>
          </mc:Choice>
        </mc:AlternateContent>
        <mc:AlternateContent xmlns:mc="http://schemas.openxmlformats.org/markup-compatibility/2006">
          <mc:Choice Requires="x14">
            <control shapeId="16692" r:id="rId228" name="Option Button 308">
              <controlPr defaultSize="0" autoFill="0" autoLine="0" autoPict="0">
                <anchor moveWithCells="1">
                  <from>
                    <xdr:col>10</xdr:col>
                    <xdr:colOff>678180</xdr:colOff>
                    <xdr:row>19</xdr:row>
                    <xdr:rowOff>7620</xdr:rowOff>
                  </from>
                  <to>
                    <xdr:col>10</xdr:col>
                    <xdr:colOff>906780</xdr:colOff>
                    <xdr:row>20</xdr:row>
                    <xdr:rowOff>0</xdr:rowOff>
                  </to>
                </anchor>
              </controlPr>
            </control>
          </mc:Choice>
        </mc:AlternateContent>
        <mc:AlternateContent xmlns:mc="http://schemas.openxmlformats.org/markup-compatibility/2006">
          <mc:Choice Requires="x14">
            <control shapeId="16693" r:id="rId229" name="Option Button 309">
              <controlPr defaultSize="0" autoFill="0" autoLine="0" autoPict="0">
                <anchor moveWithCells="1">
                  <from>
                    <xdr:col>10</xdr:col>
                    <xdr:colOff>678180</xdr:colOff>
                    <xdr:row>20</xdr:row>
                    <xdr:rowOff>0</xdr:rowOff>
                  </from>
                  <to>
                    <xdr:col>10</xdr:col>
                    <xdr:colOff>906780</xdr:colOff>
                    <xdr:row>21</xdr:row>
                    <xdr:rowOff>0</xdr:rowOff>
                  </to>
                </anchor>
              </controlPr>
            </control>
          </mc:Choice>
        </mc:AlternateContent>
        <mc:AlternateContent xmlns:mc="http://schemas.openxmlformats.org/markup-compatibility/2006">
          <mc:Choice Requires="x14">
            <control shapeId="16694" r:id="rId230" name="Option Button 310">
              <controlPr defaultSize="0" autoFill="0" autoLine="0" autoPict="0">
                <anchor moveWithCells="1">
                  <from>
                    <xdr:col>10</xdr:col>
                    <xdr:colOff>685800</xdr:colOff>
                    <xdr:row>21</xdr:row>
                    <xdr:rowOff>11430</xdr:rowOff>
                  </from>
                  <to>
                    <xdr:col>10</xdr:col>
                    <xdr:colOff>895350</xdr:colOff>
                    <xdr:row>22</xdr:row>
                    <xdr:rowOff>0</xdr:rowOff>
                  </to>
                </anchor>
              </controlPr>
            </control>
          </mc:Choice>
        </mc:AlternateContent>
        <mc:AlternateContent xmlns:mc="http://schemas.openxmlformats.org/markup-compatibility/2006">
          <mc:Choice Requires="x14">
            <control shapeId="16695" r:id="rId231" name="Group Box 311">
              <controlPr defaultSize="0" autoFill="0" autoPict="0">
                <anchor moveWithCells="1">
                  <from>
                    <xdr:col>9</xdr:col>
                    <xdr:colOff>114300</xdr:colOff>
                    <xdr:row>22</xdr:row>
                    <xdr:rowOff>83820</xdr:rowOff>
                  </from>
                  <to>
                    <xdr:col>11</xdr:col>
                    <xdr:colOff>0</xdr:colOff>
                    <xdr:row>26</xdr:row>
                    <xdr:rowOff>76200</xdr:rowOff>
                  </to>
                </anchor>
              </controlPr>
            </control>
          </mc:Choice>
        </mc:AlternateContent>
        <mc:AlternateContent xmlns:mc="http://schemas.openxmlformats.org/markup-compatibility/2006">
          <mc:Choice Requires="x14">
            <control shapeId="16696" r:id="rId232" name="Option Button 312">
              <controlPr defaultSize="0" autoFill="0" autoLine="0" autoPict="0">
                <anchor moveWithCells="1">
                  <from>
                    <xdr:col>10</xdr:col>
                    <xdr:colOff>685800</xdr:colOff>
                    <xdr:row>23</xdr:row>
                    <xdr:rowOff>0</xdr:rowOff>
                  </from>
                  <to>
                    <xdr:col>10</xdr:col>
                    <xdr:colOff>895350</xdr:colOff>
                    <xdr:row>24</xdr:row>
                    <xdr:rowOff>0</xdr:rowOff>
                  </to>
                </anchor>
              </controlPr>
            </control>
          </mc:Choice>
        </mc:AlternateContent>
        <mc:AlternateContent xmlns:mc="http://schemas.openxmlformats.org/markup-compatibility/2006">
          <mc:Choice Requires="x14">
            <control shapeId="16697" r:id="rId233" name="Option Button 313">
              <controlPr defaultSize="0" autoFill="0" autoLine="0" autoPict="0">
                <anchor moveWithCells="1">
                  <from>
                    <xdr:col>10</xdr:col>
                    <xdr:colOff>685800</xdr:colOff>
                    <xdr:row>24</xdr:row>
                    <xdr:rowOff>11430</xdr:rowOff>
                  </from>
                  <to>
                    <xdr:col>10</xdr:col>
                    <xdr:colOff>895350</xdr:colOff>
                    <xdr:row>25</xdr:row>
                    <xdr:rowOff>0</xdr:rowOff>
                  </to>
                </anchor>
              </controlPr>
            </control>
          </mc:Choice>
        </mc:AlternateContent>
        <mc:AlternateContent xmlns:mc="http://schemas.openxmlformats.org/markup-compatibility/2006">
          <mc:Choice Requires="x14">
            <control shapeId="16698" r:id="rId234" name="Option Button 314">
              <controlPr defaultSize="0" autoFill="0" autoLine="0" autoPict="0">
                <anchor moveWithCells="1">
                  <from>
                    <xdr:col>10</xdr:col>
                    <xdr:colOff>685800</xdr:colOff>
                    <xdr:row>25</xdr:row>
                    <xdr:rowOff>11430</xdr:rowOff>
                  </from>
                  <to>
                    <xdr:col>10</xdr:col>
                    <xdr:colOff>895350</xdr:colOff>
                    <xdr:row>26</xdr:row>
                    <xdr:rowOff>0</xdr:rowOff>
                  </to>
                </anchor>
              </controlPr>
            </control>
          </mc:Choice>
        </mc:AlternateContent>
        <mc:AlternateContent xmlns:mc="http://schemas.openxmlformats.org/markup-compatibility/2006">
          <mc:Choice Requires="x14">
            <control shapeId="16699" r:id="rId235" name="Group Box 315">
              <controlPr defaultSize="0" autoFill="0" autoPict="0">
                <anchor moveWithCells="1">
                  <from>
                    <xdr:col>9</xdr:col>
                    <xdr:colOff>144780</xdr:colOff>
                    <xdr:row>26</xdr:row>
                    <xdr:rowOff>198120</xdr:rowOff>
                  </from>
                  <to>
                    <xdr:col>11</xdr:col>
                    <xdr:colOff>30480</xdr:colOff>
                    <xdr:row>30</xdr:row>
                    <xdr:rowOff>49530</xdr:rowOff>
                  </to>
                </anchor>
              </controlPr>
            </control>
          </mc:Choice>
        </mc:AlternateContent>
        <mc:AlternateContent xmlns:mc="http://schemas.openxmlformats.org/markup-compatibility/2006">
          <mc:Choice Requires="x14">
            <control shapeId="16700" r:id="rId236" name="Option Button 316">
              <controlPr defaultSize="0" autoFill="0" autoLine="0" autoPict="0">
                <anchor moveWithCells="1">
                  <from>
                    <xdr:col>10</xdr:col>
                    <xdr:colOff>678180</xdr:colOff>
                    <xdr:row>27</xdr:row>
                    <xdr:rowOff>0</xdr:rowOff>
                  </from>
                  <to>
                    <xdr:col>10</xdr:col>
                    <xdr:colOff>887730</xdr:colOff>
                    <xdr:row>28</xdr:row>
                    <xdr:rowOff>0</xdr:rowOff>
                  </to>
                </anchor>
              </controlPr>
            </control>
          </mc:Choice>
        </mc:AlternateContent>
        <mc:AlternateContent xmlns:mc="http://schemas.openxmlformats.org/markup-compatibility/2006">
          <mc:Choice Requires="x14">
            <control shapeId="16701" r:id="rId237" name="Option Button 317">
              <controlPr defaultSize="0" autoFill="0" autoLine="0" autoPict="0">
                <anchor moveWithCells="1">
                  <from>
                    <xdr:col>10</xdr:col>
                    <xdr:colOff>685800</xdr:colOff>
                    <xdr:row>28</xdr:row>
                    <xdr:rowOff>0</xdr:rowOff>
                  </from>
                  <to>
                    <xdr:col>10</xdr:col>
                    <xdr:colOff>887730</xdr:colOff>
                    <xdr:row>29</xdr:row>
                    <xdr:rowOff>0</xdr:rowOff>
                  </to>
                </anchor>
              </controlPr>
            </control>
          </mc:Choice>
        </mc:AlternateContent>
        <mc:AlternateContent xmlns:mc="http://schemas.openxmlformats.org/markup-compatibility/2006">
          <mc:Choice Requires="x14">
            <control shapeId="16702" r:id="rId238" name="Option Button 318">
              <controlPr defaultSize="0" autoFill="0" autoLine="0" autoPict="0">
                <anchor moveWithCells="1">
                  <from>
                    <xdr:col>10</xdr:col>
                    <xdr:colOff>678180</xdr:colOff>
                    <xdr:row>29</xdr:row>
                    <xdr:rowOff>0</xdr:rowOff>
                  </from>
                  <to>
                    <xdr:col>10</xdr:col>
                    <xdr:colOff>887730</xdr:colOff>
                    <xdr:row>30</xdr:row>
                    <xdr:rowOff>0</xdr:rowOff>
                  </to>
                </anchor>
              </controlPr>
            </control>
          </mc:Choice>
        </mc:AlternateContent>
        <mc:AlternateContent xmlns:mc="http://schemas.openxmlformats.org/markup-compatibility/2006">
          <mc:Choice Requires="x14">
            <control shapeId="16703" r:id="rId239" name="Group Box 319">
              <controlPr defaultSize="0" autoFill="0" autoPict="0">
                <anchor moveWithCells="1">
                  <from>
                    <xdr:col>9</xdr:col>
                    <xdr:colOff>152400</xdr:colOff>
                    <xdr:row>30</xdr:row>
                    <xdr:rowOff>121920</xdr:rowOff>
                  </from>
                  <to>
                    <xdr:col>10</xdr:col>
                    <xdr:colOff>1504950</xdr:colOff>
                    <xdr:row>36</xdr:row>
                    <xdr:rowOff>68580</xdr:rowOff>
                  </to>
                </anchor>
              </controlPr>
            </control>
          </mc:Choice>
        </mc:AlternateContent>
        <mc:AlternateContent xmlns:mc="http://schemas.openxmlformats.org/markup-compatibility/2006">
          <mc:Choice Requires="x14">
            <control shapeId="16704" r:id="rId240" name="Option Button 320">
              <controlPr defaultSize="0" autoFill="0" autoLine="0" autoPict="0">
                <anchor moveWithCells="1">
                  <from>
                    <xdr:col>10</xdr:col>
                    <xdr:colOff>685800</xdr:colOff>
                    <xdr:row>31</xdr:row>
                    <xdr:rowOff>11430</xdr:rowOff>
                  </from>
                  <to>
                    <xdr:col>10</xdr:col>
                    <xdr:colOff>895350</xdr:colOff>
                    <xdr:row>32</xdr:row>
                    <xdr:rowOff>0</xdr:rowOff>
                  </to>
                </anchor>
              </controlPr>
            </control>
          </mc:Choice>
        </mc:AlternateContent>
        <mc:AlternateContent xmlns:mc="http://schemas.openxmlformats.org/markup-compatibility/2006">
          <mc:Choice Requires="x14">
            <control shapeId="16705" r:id="rId241" name="Option Button 321">
              <controlPr defaultSize="0" autoFill="0" autoLine="0" autoPict="0">
                <anchor moveWithCells="1">
                  <from>
                    <xdr:col>10</xdr:col>
                    <xdr:colOff>685800</xdr:colOff>
                    <xdr:row>32</xdr:row>
                    <xdr:rowOff>68580</xdr:rowOff>
                  </from>
                  <to>
                    <xdr:col>10</xdr:col>
                    <xdr:colOff>895350</xdr:colOff>
                    <xdr:row>32</xdr:row>
                    <xdr:rowOff>304800</xdr:rowOff>
                  </to>
                </anchor>
              </controlPr>
            </control>
          </mc:Choice>
        </mc:AlternateContent>
        <mc:AlternateContent xmlns:mc="http://schemas.openxmlformats.org/markup-compatibility/2006">
          <mc:Choice Requires="x14">
            <control shapeId="16706" r:id="rId242" name="Option Button 322">
              <controlPr defaultSize="0" autoFill="0" autoLine="0" autoPict="0">
                <anchor moveWithCells="1">
                  <from>
                    <xdr:col>10</xdr:col>
                    <xdr:colOff>685800</xdr:colOff>
                    <xdr:row>33</xdr:row>
                    <xdr:rowOff>68580</xdr:rowOff>
                  </from>
                  <to>
                    <xdr:col>10</xdr:col>
                    <xdr:colOff>895350</xdr:colOff>
                    <xdr:row>33</xdr:row>
                    <xdr:rowOff>297180</xdr:rowOff>
                  </to>
                </anchor>
              </controlPr>
            </control>
          </mc:Choice>
        </mc:AlternateContent>
        <mc:AlternateContent xmlns:mc="http://schemas.openxmlformats.org/markup-compatibility/2006">
          <mc:Choice Requires="x14">
            <control shapeId="16707" r:id="rId243" name="Option Button 323">
              <controlPr defaultSize="0" autoFill="0" autoLine="0" autoPict="0">
                <anchor moveWithCells="1">
                  <from>
                    <xdr:col>10</xdr:col>
                    <xdr:colOff>685800</xdr:colOff>
                    <xdr:row>34</xdr:row>
                    <xdr:rowOff>68580</xdr:rowOff>
                  </from>
                  <to>
                    <xdr:col>10</xdr:col>
                    <xdr:colOff>895350</xdr:colOff>
                    <xdr:row>34</xdr:row>
                    <xdr:rowOff>297180</xdr:rowOff>
                  </to>
                </anchor>
              </controlPr>
            </control>
          </mc:Choice>
        </mc:AlternateContent>
        <mc:AlternateContent xmlns:mc="http://schemas.openxmlformats.org/markup-compatibility/2006">
          <mc:Choice Requires="x14">
            <control shapeId="16708" r:id="rId244" name="Option Button 324">
              <controlPr defaultSize="0" autoFill="0" autoLine="0" autoPict="0">
                <anchor moveWithCells="1">
                  <from>
                    <xdr:col>10</xdr:col>
                    <xdr:colOff>685800</xdr:colOff>
                    <xdr:row>35</xdr:row>
                    <xdr:rowOff>68580</xdr:rowOff>
                  </from>
                  <to>
                    <xdr:col>10</xdr:col>
                    <xdr:colOff>895350</xdr:colOff>
                    <xdr:row>35</xdr:row>
                    <xdr:rowOff>297180</xdr:rowOff>
                  </to>
                </anchor>
              </controlPr>
            </control>
          </mc:Choice>
        </mc:AlternateContent>
        <mc:AlternateContent xmlns:mc="http://schemas.openxmlformats.org/markup-compatibility/2006">
          <mc:Choice Requires="x14">
            <control shapeId="16709" r:id="rId245" name="Group Box 325">
              <controlPr defaultSize="0" autoFill="0" autoPict="0">
                <anchor moveWithCells="1">
                  <from>
                    <xdr:col>9</xdr:col>
                    <xdr:colOff>179070</xdr:colOff>
                    <xdr:row>36</xdr:row>
                    <xdr:rowOff>102870</xdr:rowOff>
                  </from>
                  <to>
                    <xdr:col>11</xdr:col>
                    <xdr:colOff>0</xdr:colOff>
                    <xdr:row>40</xdr:row>
                    <xdr:rowOff>106680</xdr:rowOff>
                  </to>
                </anchor>
              </controlPr>
            </control>
          </mc:Choice>
        </mc:AlternateContent>
        <mc:AlternateContent xmlns:mc="http://schemas.openxmlformats.org/markup-compatibility/2006">
          <mc:Choice Requires="x14">
            <control shapeId="16710" r:id="rId246" name="Option Button 326">
              <controlPr defaultSize="0" autoFill="0" autoLine="0" autoPict="0">
                <anchor moveWithCells="1">
                  <from>
                    <xdr:col>10</xdr:col>
                    <xdr:colOff>674370</xdr:colOff>
                    <xdr:row>37</xdr:row>
                    <xdr:rowOff>0</xdr:rowOff>
                  </from>
                  <to>
                    <xdr:col>10</xdr:col>
                    <xdr:colOff>906780</xdr:colOff>
                    <xdr:row>38</xdr:row>
                    <xdr:rowOff>0</xdr:rowOff>
                  </to>
                </anchor>
              </controlPr>
            </control>
          </mc:Choice>
        </mc:AlternateContent>
        <mc:AlternateContent xmlns:mc="http://schemas.openxmlformats.org/markup-compatibility/2006">
          <mc:Choice Requires="x14">
            <control shapeId="16711" r:id="rId247" name="Option Button 327">
              <controlPr defaultSize="0" autoFill="0" autoLine="0" autoPict="0">
                <anchor moveWithCells="1">
                  <from>
                    <xdr:col>10</xdr:col>
                    <xdr:colOff>674370</xdr:colOff>
                    <xdr:row>38</xdr:row>
                    <xdr:rowOff>11430</xdr:rowOff>
                  </from>
                  <to>
                    <xdr:col>10</xdr:col>
                    <xdr:colOff>906780</xdr:colOff>
                    <xdr:row>39</xdr:row>
                    <xdr:rowOff>0</xdr:rowOff>
                  </to>
                </anchor>
              </controlPr>
            </control>
          </mc:Choice>
        </mc:AlternateContent>
        <mc:AlternateContent xmlns:mc="http://schemas.openxmlformats.org/markup-compatibility/2006">
          <mc:Choice Requires="x14">
            <control shapeId="16712" r:id="rId248" name="Option Button 328">
              <controlPr defaultSize="0" autoFill="0" autoLine="0" autoPict="0">
                <anchor moveWithCells="1">
                  <from>
                    <xdr:col>10</xdr:col>
                    <xdr:colOff>674370</xdr:colOff>
                    <xdr:row>38</xdr:row>
                    <xdr:rowOff>182880</xdr:rowOff>
                  </from>
                  <to>
                    <xdr:col>10</xdr:col>
                    <xdr:colOff>906780</xdr:colOff>
                    <xdr:row>40</xdr:row>
                    <xdr:rowOff>0</xdr:rowOff>
                  </to>
                </anchor>
              </controlPr>
            </control>
          </mc:Choice>
        </mc:AlternateContent>
        <mc:AlternateContent xmlns:mc="http://schemas.openxmlformats.org/markup-compatibility/2006">
          <mc:Choice Requires="x14">
            <control shapeId="16713" r:id="rId249" name="Group Box 329">
              <controlPr defaultSize="0" autoFill="0" autoPict="0">
                <anchor moveWithCells="1">
                  <from>
                    <xdr:col>9</xdr:col>
                    <xdr:colOff>140970</xdr:colOff>
                    <xdr:row>40</xdr:row>
                    <xdr:rowOff>247650</xdr:rowOff>
                  </from>
                  <to>
                    <xdr:col>10</xdr:col>
                    <xdr:colOff>1485900</xdr:colOff>
                    <xdr:row>45</xdr:row>
                    <xdr:rowOff>57150</xdr:rowOff>
                  </to>
                </anchor>
              </controlPr>
            </control>
          </mc:Choice>
        </mc:AlternateContent>
        <mc:AlternateContent xmlns:mc="http://schemas.openxmlformats.org/markup-compatibility/2006">
          <mc:Choice Requires="x14">
            <control shapeId="16718" r:id="rId250" name="Option Button 334">
              <controlPr defaultSize="0" autoFill="0" autoLine="0" autoPict="0">
                <anchor moveWithCells="1">
                  <from>
                    <xdr:col>10</xdr:col>
                    <xdr:colOff>674370</xdr:colOff>
                    <xdr:row>41</xdr:row>
                    <xdr:rowOff>0</xdr:rowOff>
                  </from>
                  <to>
                    <xdr:col>10</xdr:col>
                    <xdr:colOff>906780</xdr:colOff>
                    <xdr:row>42</xdr:row>
                    <xdr:rowOff>0</xdr:rowOff>
                  </to>
                </anchor>
              </controlPr>
            </control>
          </mc:Choice>
        </mc:AlternateContent>
        <mc:AlternateContent xmlns:mc="http://schemas.openxmlformats.org/markup-compatibility/2006">
          <mc:Choice Requires="x14">
            <control shapeId="16719" r:id="rId251" name="Option Button 335">
              <controlPr defaultSize="0" autoFill="0" autoLine="0" autoPict="0">
                <anchor moveWithCells="1">
                  <from>
                    <xdr:col>10</xdr:col>
                    <xdr:colOff>674370</xdr:colOff>
                    <xdr:row>42</xdr:row>
                    <xdr:rowOff>11430</xdr:rowOff>
                  </from>
                  <to>
                    <xdr:col>10</xdr:col>
                    <xdr:colOff>906780</xdr:colOff>
                    <xdr:row>43</xdr:row>
                    <xdr:rowOff>0</xdr:rowOff>
                  </to>
                </anchor>
              </controlPr>
            </control>
          </mc:Choice>
        </mc:AlternateContent>
        <mc:AlternateContent xmlns:mc="http://schemas.openxmlformats.org/markup-compatibility/2006">
          <mc:Choice Requires="x14">
            <control shapeId="16720" r:id="rId252" name="Option Button 336">
              <controlPr defaultSize="0" autoFill="0" autoLine="0" autoPict="0">
                <anchor moveWithCells="1">
                  <from>
                    <xdr:col>10</xdr:col>
                    <xdr:colOff>674370</xdr:colOff>
                    <xdr:row>43</xdr:row>
                    <xdr:rowOff>11430</xdr:rowOff>
                  </from>
                  <to>
                    <xdr:col>10</xdr:col>
                    <xdr:colOff>906780</xdr:colOff>
                    <xdr:row>44</xdr:row>
                    <xdr:rowOff>0</xdr:rowOff>
                  </to>
                </anchor>
              </controlPr>
            </control>
          </mc:Choice>
        </mc:AlternateContent>
        <mc:AlternateContent xmlns:mc="http://schemas.openxmlformats.org/markup-compatibility/2006">
          <mc:Choice Requires="x14">
            <control shapeId="16721" r:id="rId253" name="Option Button 337">
              <controlPr defaultSize="0" autoFill="0" autoLine="0" autoPict="0">
                <anchor moveWithCells="1">
                  <from>
                    <xdr:col>10</xdr:col>
                    <xdr:colOff>674370</xdr:colOff>
                    <xdr:row>44</xdr:row>
                    <xdr:rowOff>11430</xdr:rowOff>
                  </from>
                  <to>
                    <xdr:col>10</xdr:col>
                    <xdr:colOff>906780</xdr:colOff>
                    <xdr:row>45</xdr:row>
                    <xdr:rowOff>0</xdr:rowOff>
                  </to>
                </anchor>
              </controlPr>
            </control>
          </mc:Choice>
        </mc:AlternateContent>
        <mc:AlternateContent xmlns:mc="http://schemas.openxmlformats.org/markup-compatibility/2006">
          <mc:Choice Requires="x14">
            <control shapeId="16722" r:id="rId254" name="Group Box 338">
              <controlPr defaultSize="0" autoFill="0" autoPict="0">
                <anchor moveWithCells="1">
                  <from>
                    <xdr:col>9</xdr:col>
                    <xdr:colOff>83820</xdr:colOff>
                    <xdr:row>45</xdr:row>
                    <xdr:rowOff>87630</xdr:rowOff>
                  </from>
                  <to>
                    <xdr:col>11</xdr:col>
                    <xdr:colOff>49530</xdr:colOff>
                    <xdr:row>49</xdr:row>
                    <xdr:rowOff>125730</xdr:rowOff>
                  </to>
                </anchor>
              </controlPr>
            </control>
          </mc:Choice>
        </mc:AlternateContent>
        <mc:AlternateContent xmlns:mc="http://schemas.openxmlformats.org/markup-compatibility/2006">
          <mc:Choice Requires="x14">
            <control shapeId="16723" r:id="rId255" name="Option Button 339">
              <controlPr defaultSize="0" autoFill="0" autoLine="0" autoPict="0">
                <anchor moveWithCells="1">
                  <from>
                    <xdr:col>10</xdr:col>
                    <xdr:colOff>685800</xdr:colOff>
                    <xdr:row>46</xdr:row>
                    <xdr:rowOff>11430</xdr:rowOff>
                  </from>
                  <to>
                    <xdr:col>10</xdr:col>
                    <xdr:colOff>895350</xdr:colOff>
                    <xdr:row>47</xdr:row>
                    <xdr:rowOff>0</xdr:rowOff>
                  </to>
                </anchor>
              </controlPr>
            </control>
          </mc:Choice>
        </mc:AlternateContent>
        <mc:AlternateContent xmlns:mc="http://schemas.openxmlformats.org/markup-compatibility/2006">
          <mc:Choice Requires="x14">
            <control shapeId="16724" r:id="rId256" name="Option Button 340">
              <controlPr defaultSize="0" autoFill="0" autoLine="0" autoPict="0">
                <anchor moveWithCells="1">
                  <from>
                    <xdr:col>10</xdr:col>
                    <xdr:colOff>685800</xdr:colOff>
                    <xdr:row>47</xdr:row>
                    <xdr:rowOff>0</xdr:rowOff>
                  </from>
                  <to>
                    <xdr:col>10</xdr:col>
                    <xdr:colOff>895350</xdr:colOff>
                    <xdr:row>48</xdr:row>
                    <xdr:rowOff>0</xdr:rowOff>
                  </to>
                </anchor>
              </controlPr>
            </control>
          </mc:Choice>
        </mc:AlternateContent>
        <mc:AlternateContent xmlns:mc="http://schemas.openxmlformats.org/markup-compatibility/2006">
          <mc:Choice Requires="x14">
            <control shapeId="16725" r:id="rId257" name="Option Button 341">
              <controlPr defaultSize="0" autoFill="0" autoLine="0" autoPict="0">
                <anchor moveWithCells="1">
                  <from>
                    <xdr:col>10</xdr:col>
                    <xdr:colOff>685800</xdr:colOff>
                    <xdr:row>48</xdr:row>
                    <xdr:rowOff>0</xdr:rowOff>
                  </from>
                  <to>
                    <xdr:col>10</xdr:col>
                    <xdr:colOff>895350</xdr:colOff>
                    <xdr:row>49</xdr:row>
                    <xdr:rowOff>0</xdr:rowOff>
                  </to>
                </anchor>
              </controlPr>
            </control>
          </mc:Choice>
        </mc:AlternateContent>
        <mc:AlternateContent xmlns:mc="http://schemas.openxmlformats.org/markup-compatibility/2006">
          <mc:Choice Requires="x14">
            <control shapeId="16726" r:id="rId258" name="Group Box 342">
              <controlPr defaultSize="0" autoFill="0" autoPict="0">
                <anchor moveWithCells="1">
                  <from>
                    <xdr:col>9</xdr:col>
                    <xdr:colOff>144780</xdr:colOff>
                    <xdr:row>50</xdr:row>
                    <xdr:rowOff>106680</xdr:rowOff>
                  </from>
                  <to>
                    <xdr:col>10</xdr:col>
                    <xdr:colOff>1504950</xdr:colOff>
                    <xdr:row>53</xdr:row>
                    <xdr:rowOff>68580</xdr:rowOff>
                  </to>
                </anchor>
              </controlPr>
            </control>
          </mc:Choice>
        </mc:AlternateContent>
        <mc:AlternateContent xmlns:mc="http://schemas.openxmlformats.org/markup-compatibility/2006">
          <mc:Choice Requires="x14">
            <control shapeId="16727" r:id="rId259" name="Option Button 343">
              <controlPr defaultSize="0" autoFill="0" autoLine="0" autoPict="0">
                <anchor moveWithCells="1">
                  <from>
                    <xdr:col>10</xdr:col>
                    <xdr:colOff>685800</xdr:colOff>
                    <xdr:row>51</xdr:row>
                    <xdr:rowOff>0</xdr:rowOff>
                  </from>
                  <to>
                    <xdr:col>10</xdr:col>
                    <xdr:colOff>895350</xdr:colOff>
                    <xdr:row>52</xdr:row>
                    <xdr:rowOff>0</xdr:rowOff>
                  </to>
                </anchor>
              </controlPr>
            </control>
          </mc:Choice>
        </mc:AlternateContent>
        <mc:AlternateContent xmlns:mc="http://schemas.openxmlformats.org/markup-compatibility/2006">
          <mc:Choice Requires="x14">
            <control shapeId="16728" r:id="rId260" name="Option Button 344">
              <controlPr defaultSize="0" autoFill="0" autoLine="0" autoPict="0">
                <anchor moveWithCells="1">
                  <from>
                    <xdr:col>10</xdr:col>
                    <xdr:colOff>685800</xdr:colOff>
                    <xdr:row>52</xdr:row>
                    <xdr:rowOff>0</xdr:rowOff>
                  </from>
                  <to>
                    <xdr:col>10</xdr:col>
                    <xdr:colOff>895350</xdr:colOff>
                    <xdr:row>53</xdr:row>
                    <xdr:rowOff>0</xdr:rowOff>
                  </to>
                </anchor>
              </controlPr>
            </control>
          </mc:Choice>
        </mc:AlternateContent>
        <mc:AlternateContent xmlns:mc="http://schemas.openxmlformats.org/markup-compatibility/2006">
          <mc:Choice Requires="x14">
            <control shapeId="16729" r:id="rId261" name="Group Box 345">
              <controlPr defaultSize="0" autoFill="0" autoPict="0">
                <anchor moveWithCells="1">
                  <from>
                    <xdr:col>9</xdr:col>
                    <xdr:colOff>171450</xdr:colOff>
                    <xdr:row>53</xdr:row>
                    <xdr:rowOff>144780</xdr:rowOff>
                  </from>
                  <to>
                    <xdr:col>10</xdr:col>
                    <xdr:colOff>1474470</xdr:colOff>
                    <xdr:row>58</xdr:row>
                    <xdr:rowOff>255270</xdr:rowOff>
                  </to>
                </anchor>
              </controlPr>
            </control>
          </mc:Choice>
        </mc:AlternateContent>
        <mc:AlternateContent xmlns:mc="http://schemas.openxmlformats.org/markup-compatibility/2006">
          <mc:Choice Requires="x14">
            <control shapeId="16730" r:id="rId262" name="Option Button 346">
              <controlPr defaultSize="0" autoFill="0" autoLine="0" autoPict="0">
                <anchor moveWithCells="1">
                  <from>
                    <xdr:col>10</xdr:col>
                    <xdr:colOff>685800</xdr:colOff>
                    <xdr:row>54</xdr:row>
                    <xdr:rowOff>354330</xdr:rowOff>
                  </from>
                  <to>
                    <xdr:col>10</xdr:col>
                    <xdr:colOff>895350</xdr:colOff>
                    <xdr:row>54</xdr:row>
                    <xdr:rowOff>544830</xdr:rowOff>
                  </to>
                </anchor>
              </controlPr>
            </control>
          </mc:Choice>
        </mc:AlternateContent>
        <mc:AlternateContent xmlns:mc="http://schemas.openxmlformats.org/markup-compatibility/2006">
          <mc:Choice Requires="x14">
            <control shapeId="16731" r:id="rId263" name="Option Button 347">
              <controlPr defaultSize="0" autoFill="0" autoLine="0" autoPict="0">
                <anchor moveWithCells="1">
                  <from>
                    <xdr:col>10</xdr:col>
                    <xdr:colOff>685800</xdr:colOff>
                    <xdr:row>55</xdr:row>
                    <xdr:rowOff>163830</xdr:rowOff>
                  </from>
                  <to>
                    <xdr:col>10</xdr:col>
                    <xdr:colOff>895350</xdr:colOff>
                    <xdr:row>55</xdr:row>
                    <xdr:rowOff>354330</xdr:rowOff>
                  </to>
                </anchor>
              </controlPr>
            </control>
          </mc:Choice>
        </mc:AlternateContent>
        <mc:AlternateContent xmlns:mc="http://schemas.openxmlformats.org/markup-compatibility/2006">
          <mc:Choice Requires="x14">
            <control shapeId="16732" r:id="rId264" name="Option Button 348">
              <controlPr defaultSize="0" autoFill="0" autoLine="0" autoPict="0">
                <anchor moveWithCells="1">
                  <from>
                    <xdr:col>10</xdr:col>
                    <xdr:colOff>685800</xdr:colOff>
                    <xdr:row>56</xdr:row>
                    <xdr:rowOff>76200</xdr:rowOff>
                  </from>
                  <to>
                    <xdr:col>10</xdr:col>
                    <xdr:colOff>895350</xdr:colOff>
                    <xdr:row>56</xdr:row>
                    <xdr:rowOff>266700</xdr:rowOff>
                  </to>
                </anchor>
              </controlPr>
            </control>
          </mc:Choice>
        </mc:AlternateContent>
        <mc:AlternateContent xmlns:mc="http://schemas.openxmlformats.org/markup-compatibility/2006">
          <mc:Choice Requires="x14">
            <control shapeId="16733" r:id="rId265" name="Option Button 349">
              <controlPr defaultSize="0" autoFill="0" autoLine="0" autoPict="0">
                <anchor moveWithCells="1">
                  <from>
                    <xdr:col>10</xdr:col>
                    <xdr:colOff>685800</xdr:colOff>
                    <xdr:row>57</xdr:row>
                    <xdr:rowOff>0</xdr:rowOff>
                  </from>
                  <to>
                    <xdr:col>10</xdr:col>
                    <xdr:colOff>895350</xdr:colOff>
                    <xdr:row>58</xdr:row>
                    <xdr:rowOff>0</xdr:rowOff>
                  </to>
                </anchor>
              </controlPr>
            </control>
          </mc:Choice>
        </mc:AlternateContent>
        <mc:AlternateContent xmlns:mc="http://schemas.openxmlformats.org/markup-compatibility/2006">
          <mc:Choice Requires="x14">
            <control shapeId="16734" r:id="rId266" name="Group Box 350">
              <controlPr defaultSize="0" autoFill="0" autoPict="0">
                <anchor moveWithCells="1">
                  <from>
                    <xdr:col>9</xdr:col>
                    <xdr:colOff>152400</xdr:colOff>
                    <xdr:row>58</xdr:row>
                    <xdr:rowOff>342900</xdr:rowOff>
                  </from>
                  <to>
                    <xdr:col>11</xdr:col>
                    <xdr:colOff>0</xdr:colOff>
                    <xdr:row>60</xdr:row>
                    <xdr:rowOff>285750</xdr:rowOff>
                  </to>
                </anchor>
              </controlPr>
            </control>
          </mc:Choice>
        </mc:AlternateContent>
        <mc:AlternateContent xmlns:mc="http://schemas.openxmlformats.org/markup-compatibility/2006">
          <mc:Choice Requires="x14">
            <control shapeId="16735" r:id="rId267" name="Option Button 351">
              <controlPr defaultSize="0" autoFill="0" autoLine="0" autoPict="0">
                <anchor moveWithCells="1">
                  <from>
                    <xdr:col>10</xdr:col>
                    <xdr:colOff>678180</xdr:colOff>
                    <xdr:row>59</xdr:row>
                    <xdr:rowOff>0</xdr:rowOff>
                  </from>
                  <to>
                    <xdr:col>10</xdr:col>
                    <xdr:colOff>906780</xdr:colOff>
                    <xdr:row>60</xdr:row>
                    <xdr:rowOff>0</xdr:rowOff>
                  </to>
                </anchor>
              </controlPr>
            </control>
          </mc:Choice>
        </mc:AlternateContent>
        <mc:AlternateContent xmlns:mc="http://schemas.openxmlformats.org/markup-compatibility/2006">
          <mc:Choice Requires="x14">
            <control shapeId="16736" r:id="rId268" name="Option Button 352">
              <controlPr defaultSize="0" autoFill="0" autoLine="0" autoPict="0">
                <anchor moveWithCells="1">
                  <from>
                    <xdr:col>10</xdr:col>
                    <xdr:colOff>678180</xdr:colOff>
                    <xdr:row>60</xdr:row>
                    <xdr:rowOff>0</xdr:rowOff>
                  </from>
                  <to>
                    <xdr:col>10</xdr:col>
                    <xdr:colOff>906780</xdr:colOff>
                    <xdr:row>60</xdr:row>
                    <xdr:rowOff>198120</xdr:rowOff>
                  </to>
                </anchor>
              </controlPr>
            </control>
          </mc:Choice>
        </mc:AlternateContent>
        <mc:AlternateContent xmlns:mc="http://schemas.openxmlformats.org/markup-compatibility/2006">
          <mc:Choice Requires="x14">
            <control shapeId="16737" r:id="rId269" name="Group Box 353">
              <controlPr defaultSize="0" autoFill="0" autoPict="0">
                <anchor moveWithCells="1">
                  <from>
                    <xdr:col>9</xdr:col>
                    <xdr:colOff>163830</xdr:colOff>
                    <xdr:row>61</xdr:row>
                    <xdr:rowOff>125730</xdr:rowOff>
                  </from>
                  <to>
                    <xdr:col>11</xdr:col>
                    <xdr:colOff>11430</xdr:colOff>
                    <xdr:row>65</xdr:row>
                    <xdr:rowOff>87630</xdr:rowOff>
                  </to>
                </anchor>
              </controlPr>
            </control>
          </mc:Choice>
        </mc:AlternateContent>
        <mc:AlternateContent xmlns:mc="http://schemas.openxmlformats.org/markup-compatibility/2006">
          <mc:Choice Requires="x14">
            <control shapeId="16738" r:id="rId270" name="Option Button 354">
              <controlPr defaultSize="0" autoFill="0" autoLine="0" autoPict="0">
                <anchor moveWithCells="1">
                  <from>
                    <xdr:col>10</xdr:col>
                    <xdr:colOff>678180</xdr:colOff>
                    <xdr:row>62</xdr:row>
                    <xdr:rowOff>0</xdr:rowOff>
                  </from>
                  <to>
                    <xdr:col>10</xdr:col>
                    <xdr:colOff>906780</xdr:colOff>
                    <xdr:row>63</xdr:row>
                    <xdr:rowOff>0</xdr:rowOff>
                  </to>
                </anchor>
              </controlPr>
            </control>
          </mc:Choice>
        </mc:AlternateContent>
        <mc:AlternateContent xmlns:mc="http://schemas.openxmlformats.org/markup-compatibility/2006">
          <mc:Choice Requires="x14">
            <control shapeId="16740" r:id="rId271" name="Option Button 356">
              <controlPr defaultSize="0" autoFill="0" autoLine="0" autoPict="0">
                <anchor moveWithCells="1">
                  <from>
                    <xdr:col>10</xdr:col>
                    <xdr:colOff>678180</xdr:colOff>
                    <xdr:row>63</xdr:row>
                    <xdr:rowOff>68580</xdr:rowOff>
                  </from>
                  <to>
                    <xdr:col>10</xdr:col>
                    <xdr:colOff>906780</xdr:colOff>
                    <xdr:row>63</xdr:row>
                    <xdr:rowOff>297180</xdr:rowOff>
                  </to>
                </anchor>
              </controlPr>
            </control>
          </mc:Choice>
        </mc:AlternateContent>
        <mc:AlternateContent xmlns:mc="http://schemas.openxmlformats.org/markup-compatibility/2006">
          <mc:Choice Requires="x14">
            <control shapeId="16741" r:id="rId272" name="Option Button 357">
              <controlPr defaultSize="0" autoFill="0" autoLine="0" autoPict="0">
                <anchor moveWithCells="1">
                  <from>
                    <xdr:col>10</xdr:col>
                    <xdr:colOff>678180</xdr:colOff>
                    <xdr:row>64</xdr:row>
                    <xdr:rowOff>68580</xdr:rowOff>
                  </from>
                  <to>
                    <xdr:col>10</xdr:col>
                    <xdr:colOff>906780</xdr:colOff>
                    <xdr:row>64</xdr:row>
                    <xdr:rowOff>297180</xdr:rowOff>
                  </to>
                </anchor>
              </controlPr>
            </control>
          </mc:Choice>
        </mc:AlternateContent>
        <mc:AlternateContent xmlns:mc="http://schemas.openxmlformats.org/markup-compatibility/2006">
          <mc:Choice Requires="x14">
            <control shapeId="16742" r:id="rId273" name="Group Box 358">
              <controlPr defaultSize="0" autoFill="0" autoPict="0">
                <anchor moveWithCells="1">
                  <from>
                    <xdr:col>2</xdr:col>
                    <xdr:colOff>163830</xdr:colOff>
                    <xdr:row>58</xdr:row>
                    <xdr:rowOff>388620</xdr:rowOff>
                  </from>
                  <to>
                    <xdr:col>2</xdr:col>
                    <xdr:colOff>1104900</xdr:colOff>
                    <xdr:row>60</xdr:row>
                    <xdr:rowOff>411480</xdr:rowOff>
                  </to>
                </anchor>
              </controlPr>
            </control>
          </mc:Choice>
        </mc:AlternateContent>
        <mc:AlternateContent xmlns:mc="http://schemas.openxmlformats.org/markup-compatibility/2006">
          <mc:Choice Requires="x14">
            <control shapeId="16743" r:id="rId274" name="Group Box 359">
              <controlPr defaultSize="0" autoFill="0" autoPict="0">
                <anchor moveWithCells="1">
                  <from>
                    <xdr:col>1</xdr:col>
                    <xdr:colOff>788670</xdr:colOff>
                    <xdr:row>30</xdr:row>
                    <xdr:rowOff>133350</xdr:rowOff>
                  </from>
                  <to>
                    <xdr:col>3</xdr:col>
                    <xdr:colOff>49530</xdr:colOff>
                    <xdr:row>36</xdr:row>
                    <xdr:rowOff>87630</xdr:rowOff>
                  </to>
                </anchor>
              </controlPr>
            </control>
          </mc:Choice>
        </mc:AlternateContent>
        <mc:AlternateContent xmlns:mc="http://schemas.openxmlformats.org/markup-compatibility/2006">
          <mc:Choice Requires="x14">
            <control shapeId="16744" r:id="rId275" name="Option Button 360">
              <controlPr defaultSize="0" autoFill="0" autoLine="0" autoPict="0">
                <anchor moveWithCells="1">
                  <from>
                    <xdr:col>2</xdr:col>
                    <xdr:colOff>674370</xdr:colOff>
                    <xdr:row>31</xdr:row>
                    <xdr:rowOff>11430</xdr:rowOff>
                  </from>
                  <to>
                    <xdr:col>2</xdr:col>
                    <xdr:colOff>906780</xdr:colOff>
                    <xdr:row>32</xdr:row>
                    <xdr:rowOff>0</xdr:rowOff>
                  </to>
                </anchor>
              </controlPr>
            </control>
          </mc:Choice>
        </mc:AlternateContent>
        <mc:AlternateContent xmlns:mc="http://schemas.openxmlformats.org/markup-compatibility/2006">
          <mc:Choice Requires="x14">
            <control shapeId="16745" r:id="rId276" name="Option Button 361">
              <controlPr defaultSize="0" autoFill="0" autoLine="0" autoPict="0">
                <anchor moveWithCells="1">
                  <from>
                    <xdr:col>2</xdr:col>
                    <xdr:colOff>674370</xdr:colOff>
                    <xdr:row>32</xdr:row>
                    <xdr:rowOff>68580</xdr:rowOff>
                  </from>
                  <to>
                    <xdr:col>2</xdr:col>
                    <xdr:colOff>906780</xdr:colOff>
                    <xdr:row>32</xdr:row>
                    <xdr:rowOff>297180</xdr:rowOff>
                  </to>
                </anchor>
              </controlPr>
            </control>
          </mc:Choice>
        </mc:AlternateContent>
        <mc:AlternateContent xmlns:mc="http://schemas.openxmlformats.org/markup-compatibility/2006">
          <mc:Choice Requires="x14">
            <control shapeId="16746" r:id="rId277" name="Option Button 362">
              <controlPr defaultSize="0" autoFill="0" autoLine="0" autoPict="0">
                <anchor moveWithCells="1">
                  <from>
                    <xdr:col>2</xdr:col>
                    <xdr:colOff>674370</xdr:colOff>
                    <xdr:row>33</xdr:row>
                    <xdr:rowOff>68580</xdr:rowOff>
                  </from>
                  <to>
                    <xdr:col>2</xdr:col>
                    <xdr:colOff>906780</xdr:colOff>
                    <xdr:row>33</xdr:row>
                    <xdr:rowOff>297180</xdr:rowOff>
                  </to>
                </anchor>
              </controlPr>
            </control>
          </mc:Choice>
        </mc:AlternateContent>
        <mc:AlternateContent xmlns:mc="http://schemas.openxmlformats.org/markup-compatibility/2006">
          <mc:Choice Requires="x14">
            <control shapeId="16747" r:id="rId278" name="Option Button 363">
              <controlPr defaultSize="0" autoFill="0" autoLine="0" autoPict="0">
                <anchor moveWithCells="1">
                  <from>
                    <xdr:col>2</xdr:col>
                    <xdr:colOff>678180</xdr:colOff>
                    <xdr:row>34</xdr:row>
                    <xdr:rowOff>64770</xdr:rowOff>
                  </from>
                  <to>
                    <xdr:col>2</xdr:col>
                    <xdr:colOff>906780</xdr:colOff>
                    <xdr:row>34</xdr:row>
                    <xdr:rowOff>297180</xdr:rowOff>
                  </to>
                </anchor>
              </controlPr>
            </control>
          </mc:Choice>
        </mc:AlternateContent>
        <mc:AlternateContent xmlns:mc="http://schemas.openxmlformats.org/markup-compatibility/2006">
          <mc:Choice Requires="x14">
            <control shapeId="16748" r:id="rId279" name="Option Button 364">
              <controlPr defaultSize="0" autoFill="0" autoLine="0" autoPict="0">
                <anchor moveWithCells="1">
                  <from>
                    <xdr:col>2</xdr:col>
                    <xdr:colOff>678180</xdr:colOff>
                    <xdr:row>35</xdr:row>
                    <xdr:rowOff>68580</xdr:rowOff>
                  </from>
                  <to>
                    <xdr:col>2</xdr:col>
                    <xdr:colOff>906780</xdr:colOff>
                    <xdr:row>35</xdr:row>
                    <xdr:rowOff>297180</xdr:rowOff>
                  </to>
                </anchor>
              </controlPr>
            </control>
          </mc:Choice>
        </mc:AlternateContent>
        <mc:AlternateContent xmlns:mc="http://schemas.openxmlformats.org/markup-compatibility/2006">
          <mc:Choice Requires="x14">
            <control shapeId="16752" r:id="rId280" name="Group Box 368">
              <controlPr defaultSize="0" autoFill="0" autoPict="0">
                <anchor moveWithCells="1">
                  <from>
                    <xdr:col>1</xdr:col>
                    <xdr:colOff>781050</xdr:colOff>
                    <xdr:row>36</xdr:row>
                    <xdr:rowOff>144780</xdr:rowOff>
                  </from>
                  <to>
                    <xdr:col>3</xdr:col>
                    <xdr:colOff>38100</xdr:colOff>
                    <xdr:row>40</xdr:row>
                    <xdr:rowOff>133350</xdr:rowOff>
                  </to>
                </anchor>
              </controlPr>
            </control>
          </mc:Choice>
        </mc:AlternateContent>
        <mc:AlternateContent xmlns:mc="http://schemas.openxmlformats.org/markup-compatibility/2006">
          <mc:Choice Requires="x14">
            <control shapeId="16753" r:id="rId281" name="Option Button 369">
              <controlPr defaultSize="0" autoFill="0" autoLine="0" autoPict="0">
                <anchor moveWithCells="1">
                  <from>
                    <xdr:col>2</xdr:col>
                    <xdr:colOff>685800</xdr:colOff>
                    <xdr:row>37</xdr:row>
                    <xdr:rowOff>0</xdr:rowOff>
                  </from>
                  <to>
                    <xdr:col>2</xdr:col>
                    <xdr:colOff>895350</xdr:colOff>
                    <xdr:row>38</xdr:row>
                    <xdr:rowOff>0</xdr:rowOff>
                  </to>
                </anchor>
              </controlPr>
            </control>
          </mc:Choice>
        </mc:AlternateContent>
        <mc:AlternateContent xmlns:mc="http://schemas.openxmlformats.org/markup-compatibility/2006">
          <mc:Choice Requires="x14">
            <control shapeId="16754" r:id="rId282" name="Option Button 370">
              <controlPr defaultSize="0" autoFill="0" autoLine="0" autoPict="0">
                <anchor moveWithCells="1">
                  <from>
                    <xdr:col>2</xdr:col>
                    <xdr:colOff>685800</xdr:colOff>
                    <xdr:row>38</xdr:row>
                    <xdr:rowOff>0</xdr:rowOff>
                  </from>
                  <to>
                    <xdr:col>2</xdr:col>
                    <xdr:colOff>895350</xdr:colOff>
                    <xdr:row>39</xdr:row>
                    <xdr:rowOff>0</xdr:rowOff>
                  </to>
                </anchor>
              </controlPr>
            </control>
          </mc:Choice>
        </mc:AlternateContent>
        <mc:AlternateContent xmlns:mc="http://schemas.openxmlformats.org/markup-compatibility/2006">
          <mc:Choice Requires="x14">
            <control shapeId="16755" r:id="rId283" name="Option Button 371">
              <controlPr defaultSize="0" autoFill="0" autoLine="0" autoPict="0">
                <anchor moveWithCells="1">
                  <from>
                    <xdr:col>2</xdr:col>
                    <xdr:colOff>685800</xdr:colOff>
                    <xdr:row>39</xdr:row>
                    <xdr:rowOff>0</xdr:rowOff>
                  </from>
                  <to>
                    <xdr:col>2</xdr:col>
                    <xdr:colOff>895350</xdr:colOff>
                    <xdr:row>40</xdr:row>
                    <xdr:rowOff>0</xdr:rowOff>
                  </to>
                </anchor>
              </controlPr>
            </control>
          </mc:Choice>
        </mc:AlternateContent>
        <mc:AlternateContent xmlns:mc="http://schemas.openxmlformats.org/markup-compatibility/2006">
          <mc:Choice Requires="x14">
            <control shapeId="16756" r:id="rId284" name="Group Box 372">
              <controlPr defaultSize="0" autoFill="0" autoPict="0">
                <anchor moveWithCells="1">
                  <from>
                    <xdr:col>1</xdr:col>
                    <xdr:colOff>754380</xdr:colOff>
                    <xdr:row>40</xdr:row>
                    <xdr:rowOff>247650</xdr:rowOff>
                  </from>
                  <to>
                    <xdr:col>3</xdr:col>
                    <xdr:colOff>64770</xdr:colOff>
                    <xdr:row>45</xdr:row>
                    <xdr:rowOff>125730</xdr:rowOff>
                  </to>
                </anchor>
              </controlPr>
            </control>
          </mc:Choice>
        </mc:AlternateContent>
        <mc:AlternateContent xmlns:mc="http://schemas.openxmlformats.org/markup-compatibility/2006">
          <mc:Choice Requires="x14">
            <control shapeId="16757" r:id="rId285" name="Option Button 373">
              <controlPr defaultSize="0" autoFill="0" autoLine="0" autoPict="0">
                <anchor moveWithCells="1">
                  <from>
                    <xdr:col>2</xdr:col>
                    <xdr:colOff>685800</xdr:colOff>
                    <xdr:row>41</xdr:row>
                    <xdr:rowOff>0</xdr:rowOff>
                  </from>
                  <to>
                    <xdr:col>2</xdr:col>
                    <xdr:colOff>895350</xdr:colOff>
                    <xdr:row>42</xdr:row>
                    <xdr:rowOff>0</xdr:rowOff>
                  </to>
                </anchor>
              </controlPr>
            </control>
          </mc:Choice>
        </mc:AlternateContent>
        <mc:AlternateContent xmlns:mc="http://schemas.openxmlformats.org/markup-compatibility/2006">
          <mc:Choice Requires="x14">
            <control shapeId="16758" r:id="rId286" name="Option Button 374">
              <controlPr defaultSize="0" autoFill="0" autoLine="0" autoPict="0">
                <anchor moveWithCells="1">
                  <from>
                    <xdr:col>2</xdr:col>
                    <xdr:colOff>685800</xdr:colOff>
                    <xdr:row>42</xdr:row>
                    <xdr:rowOff>7620</xdr:rowOff>
                  </from>
                  <to>
                    <xdr:col>2</xdr:col>
                    <xdr:colOff>895350</xdr:colOff>
                    <xdr:row>43</xdr:row>
                    <xdr:rowOff>0</xdr:rowOff>
                  </to>
                </anchor>
              </controlPr>
            </control>
          </mc:Choice>
        </mc:AlternateContent>
        <mc:AlternateContent xmlns:mc="http://schemas.openxmlformats.org/markup-compatibility/2006">
          <mc:Choice Requires="x14">
            <control shapeId="16759" r:id="rId287" name="Option Button 375">
              <controlPr defaultSize="0" autoFill="0" autoLine="0" autoPict="0">
                <anchor moveWithCells="1">
                  <from>
                    <xdr:col>2</xdr:col>
                    <xdr:colOff>685800</xdr:colOff>
                    <xdr:row>43</xdr:row>
                    <xdr:rowOff>0</xdr:rowOff>
                  </from>
                  <to>
                    <xdr:col>2</xdr:col>
                    <xdr:colOff>876300</xdr:colOff>
                    <xdr:row>44</xdr:row>
                    <xdr:rowOff>0</xdr:rowOff>
                  </to>
                </anchor>
              </controlPr>
            </control>
          </mc:Choice>
        </mc:AlternateContent>
        <mc:AlternateContent xmlns:mc="http://schemas.openxmlformats.org/markup-compatibility/2006">
          <mc:Choice Requires="x14">
            <control shapeId="16760" r:id="rId288" name="Option Button 376">
              <controlPr defaultSize="0" autoFill="0" autoLine="0" autoPict="0">
                <anchor moveWithCells="1">
                  <from>
                    <xdr:col>2</xdr:col>
                    <xdr:colOff>678180</xdr:colOff>
                    <xdr:row>44</xdr:row>
                    <xdr:rowOff>0</xdr:rowOff>
                  </from>
                  <to>
                    <xdr:col>2</xdr:col>
                    <xdr:colOff>906780</xdr:colOff>
                    <xdr:row>45</xdr:row>
                    <xdr:rowOff>0</xdr:rowOff>
                  </to>
                </anchor>
              </controlPr>
            </control>
          </mc:Choice>
        </mc:AlternateContent>
        <mc:AlternateContent xmlns:mc="http://schemas.openxmlformats.org/markup-compatibility/2006">
          <mc:Choice Requires="x14">
            <control shapeId="16761" r:id="rId289" name="Option Button 377">
              <controlPr defaultSize="0" autoFill="0" autoLine="0" autoPict="0">
                <anchor moveWithCells="1">
                  <from>
                    <xdr:col>2</xdr:col>
                    <xdr:colOff>674370</xdr:colOff>
                    <xdr:row>15</xdr:row>
                    <xdr:rowOff>144780</xdr:rowOff>
                  </from>
                  <to>
                    <xdr:col>2</xdr:col>
                    <xdr:colOff>906780</xdr:colOff>
                    <xdr:row>15</xdr:row>
                    <xdr:rowOff>342900</xdr:rowOff>
                  </to>
                </anchor>
              </controlPr>
            </control>
          </mc:Choice>
        </mc:AlternateContent>
        <mc:AlternateContent xmlns:mc="http://schemas.openxmlformats.org/markup-compatibility/2006">
          <mc:Choice Requires="x14">
            <control shapeId="16762" r:id="rId290" name="Option Button 378">
              <controlPr defaultSize="0" autoFill="0" autoLine="0" autoPict="0">
                <anchor moveWithCells="1">
                  <from>
                    <xdr:col>2</xdr:col>
                    <xdr:colOff>674370</xdr:colOff>
                    <xdr:row>16</xdr:row>
                    <xdr:rowOff>0</xdr:rowOff>
                  </from>
                  <to>
                    <xdr:col>2</xdr:col>
                    <xdr:colOff>906780</xdr:colOff>
                    <xdr:row>17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97104-7BF7-4DB7-BA23-C5B366780026}">
  <sheetPr codeName="Sheet2"/>
  <dimension ref="A1:I38"/>
  <sheetViews>
    <sheetView zoomScaleNormal="100" workbookViewId="0">
      <selection sqref="A1:B1"/>
    </sheetView>
  </sheetViews>
  <sheetFormatPr defaultColWidth="8.68359375" defaultRowHeight="14.1"/>
  <cols>
    <col min="1" max="1" width="15.89453125" style="2" customWidth="1"/>
    <col min="2" max="2" width="95.89453125" style="2" customWidth="1"/>
    <col min="3" max="3" width="27.734375" style="2" customWidth="1"/>
    <col min="4" max="16384" width="8.68359375" style="2"/>
  </cols>
  <sheetData>
    <row r="1" spans="1:9" s="34" customFormat="1" ht="17.399999999999999">
      <c r="A1" s="157" t="s">
        <v>229</v>
      </c>
      <c r="B1" s="157"/>
      <c r="E1"/>
      <c r="I1"/>
    </row>
    <row r="2" spans="1:9" ht="16.2">
      <c r="A2" s="235" t="s">
        <v>230</v>
      </c>
      <c r="B2" s="235"/>
    </row>
    <row r="3" spans="1:9" ht="148.5" customHeight="1">
      <c r="A3" s="239" t="s">
        <v>231</v>
      </c>
      <c r="B3" s="240"/>
    </row>
    <row r="4" spans="1:9" ht="37.299999999999997" customHeight="1">
      <c r="A4" s="241" t="s">
        <v>0</v>
      </c>
      <c r="B4" s="241"/>
    </row>
    <row r="6" spans="1:9">
      <c r="A6" s="235" t="s">
        <v>1</v>
      </c>
      <c r="B6" s="235"/>
    </row>
    <row r="7" spans="1:9" ht="30.25" customHeight="1">
      <c r="A7" s="239" t="s">
        <v>208</v>
      </c>
      <c r="B7" s="240"/>
    </row>
    <row r="8" spans="1:9" ht="52.3" customHeight="1">
      <c r="A8" s="239" t="s">
        <v>2</v>
      </c>
      <c r="B8" s="240"/>
    </row>
    <row r="10" spans="1:9" s="1" customFormat="1" ht="13.8">
      <c r="A10" s="1" t="s">
        <v>3</v>
      </c>
    </row>
    <row r="11" spans="1:9" s="1" customFormat="1" ht="56.4">
      <c r="A11" s="83" t="s">
        <v>116</v>
      </c>
      <c r="B11" s="77" t="s">
        <v>115</v>
      </c>
    </row>
    <row r="12" spans="1:9" s="1" customFormat="1" ht="30.6">
      <c r="A12" s="84" t="s">
        <v>117</v>
      </c>
      <c r="B12" s="78" t="s">
        <v>127</v>
      </c>
    </row>
    <row r="13" spans="1:9" s="1" customFormat="1" ht="44.7">
      <c r="A13" s="84" t="s">
        <v>118</v>
      </c>
      <c r="B13" s="78" t="s">
        <v>126</v>
      </c>
    </row>
    <row r="14" spans="1:9" s="1" customFormat="1" ht="42.3">
      <c r="A14" s="84" t="s">
        <v>119</v>
      </c>
      <c r="B14" s="78" t="s">
        <v>91</v>
      </c>
    </row>
    <row r="15" spans="1:9" s="1" customFormat="1" ht="28.2">
      <c r="A15" s="84" t="s">
        <v>120</v>
      </c>
      <c r="B15" s="78" t="s">
        <v>92</v>
      </c>
    </row>
    <row r="16" spans="1:9" s="1" customFormat="1">
      <c r="A16" s="84" t="s">
        <v>121</v>
      </c>
      <c r="B16" s="79" t="s">
        <v>93</v>
      </c>
    </row>
    <row r="17" spans="1:3" ht="44.7">
      <c r="A17" s="85" t="s">
        <v>122</v>
      </c>
      <c r="B17" s="80" t="s">
        <v>129</v>
      </c>
    </row>
    <row r="18" spans="1:3">
      <c r="A18" s="3"/>
      <c r="B18" s="3"/>
    </row>
    <row r="19" spans="1:3">
      <c r="A19" s="4" t="s">
        <v>6</v>
      </c>
      <c r="B19" s="4"/>
    </row>
    <row r="20" spans="1:3">
      <c r="A20" s="82" t="s">
        <v>124</v>
      </c>
      <c r="B20" s="81" t="s">
        <v>123</v>
      </c>
    </row>
    <row r="21" spans="1:3">
      <c r="A21" s="86" t="s">
        <v>125</v>
      </c>
      <c r="B21" s="80" t="s">
        <v>130</v>
      </c>
    </row>
    <row r="23" spans="1:3" ht="14.4" thickBot="1"/>
    <row r="24" spans="1:3">
      <c r="A24" s="59" t="s">
        <v>8</v>
      </c>
      <c r="B24" s="59" t="s">
        <v>9</v>
      </c>
    </row>
    <row r="25" spans="1:3" ht="14.4" thickBot="1">
      <c r="A25" s="13" t="s">
        <v>48</v>
      </c>
      <c r="B25" s="14" t="s">
        <v>49</v>
      </c>
    </row>
    <row r="26" spans="1:3" ht="14.4" thickBot="1">
      <c r="A26" s="13" t="s">
        <v>50</v>
      </c>
      <c r="B26" s="14" t="s">
        <v>51</v>
      </c>
    </row>
    <row r="27" spans="1:3" ht="14.4" thickBot="1">
      <c r="A27" s="13" t="s">
        <v>52</v>
      </c>
      <c r="B27" s="14" t="s">
        <v>53</v>
      </c>
    </row>
    <row r="28" spans="1:3" ht="14.4" thickBot="1"/>
    <row r="29" spans="1:3">
      <c r="A29" s="8" t="s">
        <v>10</v>
      </c>
      <c r="B29" s="58" t="s">
        <v>12</v>
      </c>
      <c r="C29" s="58" t="s">
        <v>13</v>
      </c>
    </row>
    <row r="30" spans="1:3" ht="14.4" thickBot="1">
      <c r="A30" s="87" t="s">
        <v>14</v>
      </c>
      <c r="B30" s="7" t="s">
        <v>15</v>
      </c>
      <c r="C30" s="7">
        <v>0.2</v>
      </c>
    </row>
    <row r="31" spans="1:3" ht="14.4" thickBot="1">
      <c r="A31" s="88" t="s">
        <v>19</v>
      </c>
      <c r="B31" s="7" t="s">
        <v>16</v>
      </c>
      <c r="C31" s="7">
        <v>0.6</v>
      </c>
    </row>
    <row r="32" spans="1:3" ht="14.4" thickBot="1">
      <c r="A32" s="87" t="s">
        <v>17</v>
      </c>
      <c r="B32" s="7" t="s">
        <v>18</v>
      </c>
      <c r="C32" s="7">
        <v>1</v>
      </c>
    </row>
    <row r="33" spans="1:3">
      <c r="A33" s="75"/>
      <c r="B33" s="76"/>
      <c r="C33" s="76"/>
    </row>
    <row r="35" spans="1:3" ht="61.5" customHeight="1">
      <c r="A35" s="236" t="s">
        <v>220</v>
      </c>
      <c r="B35" s="236"/>
    </row>
    <row r="36" spans="1:3">
      <c r="A36" s="238" t="s">
        <v>128</v>
      </c>
      <c r="B36" s="238"/>
    </row>
    <row r="37" spans="1:3" ht="16.5">
      <c r="A37" s="238" t="s">
        <v>210</v>
      </c>
      <c r="B37" s="238"/>
    </row>
    <row r="38" spans="1:3" ht="16.5">
      <c r="A38" s="237" t="s">
        <v>211</v>
      </c>
      <c r="B38" s="237"/>
    </row>
  </sheetData>
  <mergeCells count="11">
    <mergeCell ref="A1:B1"/>
    <mergeCell ref="A2:B2"/>
    <mergeCell ref="A35:B35"/>
    <mergeCell ref="A38:B38"/>
    <mergeCell ref="A37:B37"/>
    <mergeCell ref="A36:B36"/>
    <mergeCell ref="A3:B3"/>
    <mergeCell ref="A4:B4"/>
    <mergeCell ref="A6:B6"/>
    <mergeCell ref="A7:B7"/>
    <mergeCell ref="A8:B8"/>
  </mergeCells>
  <phoneticPr fontId="2" type="noConversion"/>
  <hyperlinks>
    <hyperlink ref="A37" r:id="rId1" display="https://www.povertyactionlab.org/research-resources/measurement-and-data-collection" xr:uid="{4C367005-5F5F-49B5-AB7C-24E0F6DC095D}"/>
    <hyperlink ref="A36" r:id="rId2" display="http://www.uniteforsight.org/research-methodology/module4" xr:uid="{0034B096-F14F-4FAF-8CFD-9A94B64EA971}"/>
  </hyperlinks>
  <pageMargins left="0.7" right="0.7" top="0.75" bottom="0.75" header="0.3" footer="0.3"/>
  <pageSetup paperSize="9" orientation="landscape" horizontalDpi="0" verticalDpi="0"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0A5A2-087E-41B0-A7D9-5A4EB85ACDCA}">
  <sheetPr codeName="Sheet5"/>
  <dimension ref="A1:Q35"/>
  <sheetViews>
    <sheetView topLeftCell="G1" workbookViewId="0">
      <selection activeCell="Q4" sqref="Q4"/>
    </sheetView>
  </sheetViews>
  <sheetFormatPr defaultColWidth="8.68359375" defaultRowHeight="14.1"/>
  <cols>
    <col min="1" max="5" width="8.68359375" style="2"/>
    <col min="6" max="6" width="25.68359375" style="2" customWidth="1"/>
    <col min="7" max="7" width="16.89453125" style="2" customWidth="1"/>
    <col min="8" max="11" width="8.68359375" style="2"/>
    <col min="12" max="12" width="91" style="2" customWidth="1"/>
    <col min="13" max="14" width="8.68359375" style="2"/>
    <col min="15" max="16" width="20.1015625" style="2" customWidth="1"/>
    <col min="17" max="17" width="15.1015625" style="2" customWidth="1"/>
    <col min="18" max="16384" width="8.68359375" style="2"/>
  </cols>
  <sheetData>
    <row r="1" spans="1:17" ht="14.4" thickBot="1">
      <c r="A1" s="2" t="s">
        <v>54</v>
      </c>
      <c r="F1" s="2" t="s">
        <v>55</v>
      </c>
      <c r="I1" s="2" t="s">
        <v>56</v>
      </c>
      <c r="L1" s="2" t="s">
        <v>68</v>
      </c>
    </row>
    <row r="2" spans="1:17" ht="26.7" thickBot="1">
      <c r="A2" s="2" t="s">
        <v>98</v>
      </c>
      <c r="B2" s="2" t="s">
        <v>99</v>
      </c>
      <c r="C2" s="2" t="s">
        <v>101</v>
      </c>
      <c r="D2" s="2" t="s">
        <v>100</v>
      </c>
      <c r="F2" s="11" t="s">
        <v>8</v>
      </c>
      <c r="G2" s="244" t="s">
        <v>9</v>
      </c>
      <c r="I2" s="2" t="s">
        <v>4</v>
      </c>
      <c r="J2" s="2" t="s">
        <v>5</v>
      </c>
      <c r="L2" s="24" t="s">
        <v>58</v>
      </c>
      <c r="M2" s="28" t="s">
        <v>59</v>
      </c>
      <c r="O2" s="8" t="s">
        <v>10</v>
      </c>
      <c r="P2" s="242" t="s">
        <v>12</v>
      </c>
      <c r="Q2" s="242" t="s">
        <v>13</v>
      </c>
    </row>
    <row r="3" spans="1:17" ht="42.6" thickBot="1">
      <c r="F3" s="12" t="s">
        <v>47</v>
      </c>
      <c r="G3" s="245"/>
      <c r="L3" s="39">
        <v>4</v>
      </c>
      <c r="M3" s="29">
        <v>-1</v>
      </c>
      <c r="O3" s="9" t="s">
        <v>11</v>
      </c>
      <c r="P3" s="243"/>
      <c r="Q3" s="243"/>
    </row>
    <row r="4" spans="1:17" ht="14.4" thickBot="1">
      <c r="F4" s="13" t="s">
        <v>48</v>
      </c>
      <c r="G4" s="14" t="s">
        <v>49</v>
      </c>
      <c r="L4" s="26" t="s">
        <v>60</v>
      </c>
      <c r="M4" s="29">
        <v>0</v>
      </c>
      <c r="O4" s="6" t="s">
        <v>14</v>
      </c>
      <c r="P4" s="7" t="s">
        <v>15</v>
      </c>
      <c r="Q4" s="7">
        <v>0.2</v>
      </c>
    </row>
    <row r="5" spans="1:17" ht="14.4" thickBot="1">
      <c r="F5" s="13" t="s">
        <v>50</v>
      </c>
      <c r="G5" s="14" t="s">
        <v>51</v>
      </c>
      <c r="L5" s="26" t="s">
        <v>61</v>
      </c>
      <c r="M5" s="29">
        <v>1</v>
      </c>
      <c r="O5" s="10" t="s">
        <v>19</v>
      </c>
      <c r="P5" s="7" t="s">
        <v>16</v>
      </c>
      <c r="Q5" s="7">
        <v>0.6</v>
      </c>
    </row>
    <row r="6" spans="1:17" ht="14.4" thickBot="1">
      <c r="F6" s="13" t="s">
        <v>52</v>
      </c>
      <c r="G6" s="14" t="s">
        <v>53</v>
      </c>
      <c r="L6" s="23" t="s">
        <v>66</v>
      </c>
      <c r="M6" s="29">
        <v>2</v>
      </c>
      <c r="O6" s="6" t="s">
        <v>17</v>
      </c>
      <c r="P6" s="7" t="s">
        <v>18</v>
      </c>
      <c r="Q6" s="7">
        <v>1</v>
      </c>
    </row>
    <row r="8" spans="1:17" ht="28.5" thickBot="1">
      <c r="L8" s="24" t="s">
        <v>62</v>
      </c>
      <c r="M8" s="25" t="s">
        <v>59</v>
      </c>
    </row>
    <row r="9" spans="1:17" ht="14.4" thickBot="1">
      <c r="L9" s="27" t="s">
        <v>63</v>
      </c>
      <c r="M9" s="7">
        <v>-1</v>
      </c>
    </row>
    <row r="10" spans="1:17" ht="14.4" thickBot="1">
      <c r="L10" s="27" t="s">
        <v>64</v>
      </c>
      <c r="M10" s="7">
        <v>0</v>
      </c>
    </row>
    <row r="11" spans="1:17" ht="14.4" thickBot="1">
      <c r="L11" s="23" t="s">
        <v>65</v>
      </c>
      <c r="M11" s="7">
        <v>1</v>
      </c>
    </row>
    <row r="12" spans="1:17" ht="14.4" thickBot="1">
      <c r="L12" s="23" t="s">
        <v>67</v>
      </c>
      <c r="M12" s="7">
        <v>2</v>
      </c>
    </row>
    <row r="13" spans="1:17" ht="14.4" thickBot="1"/>
    <row r="14" spans="1:17" ht="39.9" thickBot="1">
      <c r="L14" s="30" t="s">
        <v>69</v>
      </c>
      <c r="M14" s="31" t="s">
        <v>70</v>
      </c>
    </row>
    <row r="15" spans="1:17" ht="14.4" thickBot="1">
      <c r="L15" s="19" t="s">
        <v>71</v>
      </c>
      <c r="M15" s="20">
        <v>-1</v>
      </c>
    </row>
    <row r="16" spans="1:17" ht="14.4" thickBot="1">
      <c r="L16" s="19" t="s">
        <v>72</v>
      </c>
      <c r="M16" s="20">
        <v>0</v>
      </c>
    </row>
    <row r="17" spans="12:13" ht="14.4" thickBot="1">
      <c r="L17" s="19" t="s">
        <v>73</v>
      </c>
      <c r="M17" s="20">
        <v>1</v>
      </c>
    </row>
    <row r="18" spans="12:13" ht="14.4" thickBot="1">
      <c r="L18" s="19" t="s">
        <v>90</v>
      </c>
      <c r="M18" s="20">
        <v>2</v>
      </c>
    </row>
    <row r="19" spans="12:13" ht="14.4" thickBot="1"/>
    <row r="20" spans="12:13" ht="39.9" thickBot="1">
      <c r="L20" s="30" t="s">
        <v>74</v>
      </c>
      <c r="M20" s="32" t="s">
        <v>75</v>
      </c>
    </row>
    <row r="21" spans="12:13" ht="14.4" thickBot="1">
      <c r="L21" s="21" t="s">
        <v>76</v>
      </c>
      <c r="M21" s="22">
        <v>-1</v>
      </c>
    </row>
    <row r="22" spans="12:13" ht="14.4" thickBot="1">
      <c r="L22" s="21" t="s">
        <v>77</v>
      </c>
      <c r="M22" s="22">
        <v>1</v>
      </c>
    </row>
    <row r="23" spans="12:13" ht="14.4" thickBot="1">
      <c r="L23" s="21" t="s">
        <v>78</v>
      </c>
      <c r="M23" s="22">
        <v>2</v>
      </c>
    </row>
    <row r="25" spans="12:13" ht="39.9" thickBot="1">
      <c r="L25" s="18" t="s">
        <v>79</v>
      </c>
      <c r="M25" s="33" t="s">
        <v>75</v>
      </c>
    </row>
    <row r="26" spans="12:13" ht="14.4" thickBot="1">
      <c r="L26" s="19" t="s">
        <v>80</v>
      </c>
      <c r="M26" s="20">
        <v>-1</v>
      </c>
    </row>
    <row r="27" spans="12:13" ht="14.4" thickBot="1">
      <c r="L27" s="19" t="s">
        <v>81</v>
      </c>
      <c r="M27" s="20">
        <v>1</v>
      </c>
    </row>
    <row r="28" spans="12:13" ht="14.4" thickBot="1">
      <c r="L28" s="19" t="s">
        <v>82</v>
      </c>
      <c r="M28" s="20">
        <v>2</v>
      </c>
    </row>
    <row r="29" spans="12:13" ht="14.4" thickBot="1"/>
    <row r="30" spans="12:13" ht="39.9" thickBot="1">
      <c r="L30" s="30" t="s">
        <v>83</v>
      </c>
      <c r="M30" s="32" t="s">
        <v>84</v>
      </c>
    </row>
    <row r="31" spans="12:13" ht="26.7" thickBot="1">
      <c r="L31" s="21" t="s">
        <v>85</v>
      </c>
      <c r="M31" s="22">
        <v>-1</v>
      </c>
    </row>
    <row r="32" spans="12:13" ht="39.9" thickBot="1">
      <c r="L32" s="21" t="s">
        <v>86</v>
      </c>
      <c r="M32" s="22">
        <v>0</v>
      </c>
    </row>
    <row r="33" spans="12:13" ht="39.9" thickBot="1">
      <c r="L33" s="21" t="s">
        <v>87</v>
      </c>
      <c r="M33" s="22">
        <v>1</v>
      </c>
    </row>
    <row r="34" spans="12:13" ht="26.7" thickBot="1">
      <c r="L34" s="21" t="s">
        <v>88</v>
      </c>
      <c r="M34" s="22">
        <v>2</v>
      </c>
    </row>
    <row r="35" spans="12:13" ht="26.7" thickBot="1">
      <c r="L35" s="21" t="s">
        <v>89</v>
      </c>
      <c r="M35" s="22">
        <v>3</v>
      </c>
    </row>
  </sheetData>
  <mergeCells count="3">
    <mergeCell ref="Q2:Q3"/>
    <mergeCell ref="G2:G3"/>
    <mergeCell ref="P2:P3"/>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0 Quick Start</vt:lpstr>
      <vt:lpstr>1 Summary Table</vt:lpstr>
      <vt:lpstr>2 Relevance Index</vt:lpstr>
      <vt:lpstr>3 Credibility Index (Single)</vt:lpstr>
      <vt:lpstr>3 Credibility Index</vt:lpstr>
      <vt:lpstr>4 Background &amp; References</vt:lpstr>
      <vt:lpstr>Reference Table</vt:lpstr>
      <vt:lpstr>'3 Credibility Index'!_ftnref1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Yixin Wang</dc:creator>
  <cp:lastModifiedBy>Windows User</cp:lastModifiedBy>
  <cp:lastPrinted>2019-07-18T01:26:36Z</cp:lastPrinted>
  <dcterms:created xsi:type="dcterms:W3CDTF">2019-07-15T15:41:35Z</dcterms:created>
  <dcterms:modified xsi:type="dcterms:W3CDTF">2020-06-14T20:12:54Z</dcterms:modified>
</cp:coreProperties>
</file>